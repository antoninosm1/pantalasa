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3.xml" ContentType="application/vnd.openxmlformats-officedocument.drawingml.chartshape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alvarezm\Desktop\"/>
    </mc:Choice>
  </mc:AlternateContent>
  <bookViews>
    <workbookView xWindow="0" yWindow="0" windowWidth="24000" windowHeight="9030"/>
  </bookViews>
  <sheets>
    <sheet name="Datos  NCG" sheetId="1" r:id="rId1"/>
    <sheet name="Graficas NCG" sheetId="2" r:id="rId2"/>
    <sheet name="encuestas asis soc." sheetId="3" r:id="rId3"/>
  </sheets>
  <calcPr calcId="162913"/>
</workbook>
</file>

<file path=xl/calcChain.xml><?xml version="1.0" encoding="utf-8"?>
<calcChain xmlns="http://schemas.openxmlformats.org/spreadsheetml/2006/main">
  <c r="C6" i="1" l="1"/>
  <c r="D12" i="3" l="1"/>
  <c r="E12" i="3"/>
  <c r="D15" i="1"/>
  <c r="C118" i="1" l="1"/>
  <c r="C165" i="1"/>
  <c r="C156" i="1"/>
  <c r="C148" i="1"/>
  <c r="C141" i="1"/>
  <c r="C135" i="1"/>
  <c r="C126" i="1"/>
  <c r="C96" i="1" l="1"/>
  <c r="C77" i="1"/>
  <c r="C88" i="1"/>
  <c r="C69" i="1"/>
  <c r="C60" i="1"/>
  <c r="C53" i="1"/>
  <c r="C15" i="1"/>
  <c r="C24" i="1"/>
  <c r="C45" i="1"/>
</calcChain>
</file>

<file path=xl/sharedStrings.xml><?xml version="1.0" encoding="utf-8"?>
<sst xmlns="http://schemas.openxmlformats.org/spreadsheetml/2006/main" count="204" uniqueCount="155">
  <si>
    <t>Hombres</t>
  </si>
  <si>
    <t>Mujeres</t>
  </si>
  <si>
    <t>No dato</t>
  </si>
  <si>
    <t>Primaria</t>
  </si>
  <si>
    <t>Secundaria</t>
  </si>
  <si>
    <t>Educacion media</t>
  </si>
  <si>
    <t>Superior</t>
  </si>
  <si>
    <t>Otro</t>
  </si>
  <si>
    <t>no dato</t>
  </si>
  <si>
    <t>otro</t>
  </si>
  <si>
    <t>Grado de estudio</t>
  </si>
  <si>
    <t>sabe leer y escribir</t>
  </si>
  <si>
    <t xml:space="preserve"> </t>
  </si>
  <si>
    <t>Número de población</t>
  </si>
  <si>
    <t>menor de 5 años</t>
  </si>
  <si>
    <t>de 5 a 9 años</t>
  </si>
  <si>
    <t>de 10 a 17 años</t>
  </si>
  <si>
    <t>18 a 59 años</t>
  </si>
  <si>
    <t>60 años y más</t>
  </si>
  <si>
    <t>Estado civil</t>
  </si>
  <si>
    <t>Unión libre</t>
  </si>
  <si>
    <t>Casado/a</t>
  </si>
  <si>
    <t>Soltero/a</t>
  </si>
  <si>
    <t>divorciado/a</t>
  </si>
  <si>
    <t>viudo/a</t>
  </si>
  <si>
    <t>separado/a</t>
  </si>
  <si>
    <t>preescolar</t>
  </si>
  <si>
    <t>analfabeta</t>
  </si>
  <si>
    <t>hogar</t>
  </si>
  <si>
    <t>estudiante</t>
  </si>
  <si>
    <t>empleado</t>
  </si>
  <si>
    <t>desempleado</t>
  </si>
  <si>
    <t>Ocupación</t>
  </si>
  <si>
    <t>trabaja por su cuenta</t>
  </si>
  <si>
    <t>Ingreso</t>
  </si>
  <si>
    <t>mayor al salario mínimo</t>
  </si>
  <si>
    <t>menor al salario mínimo</t>
  </si>
  <si>
    <t>igual al salario mínimo</t>
  </si>
  <si>
    <t>Detecciones y padecimientos</t>
  </si>
  <si>
    <t xml:space="preserve">hipertensión </t>
  </si>
  <si>
    <t>diabetes</t>
  </si>
  <si>
    <t>papanicolau</t>
  </si>
  <si>
    <t>tuberculosis</t>
  </si>
  <si>
    <t>alcoholismo</t>
  </si>
  <si>
    <t>tabaquismo</t>
  </si>
  <si>
    <t>cáncer</t>
  </si>
  <si>
    <t>Planificación familiar</t>
  </si>
  <si>
    <t>DIU</t>
  </si>
  <si>
    <t>ORALES</t>
  </si>
  <si>
    <t>PRESERVATIVOS</t>
  </si>
  <si>
    <t>INYECCIÓN MENSUAL</t>
  </si>
  <si>
    <t>SALPINGO/OTB</t>
  </si>
  <si>
    <t>IMPLANTES</t>
  </si>
  <si>
    <t>INYECCIÓN BIMENSUAL</t>
  </si>
  <si>
    <t>Embarazadas</t>
  </si>
  <si>
    <t>No. de embarazadas</t>
  </si>
  <si>
    <t>No. de embarazadas en control</t>
  </si>
  <si>
    <t>Techo</t>
  </si>
  <si>
    <t>Concreto</t>
  </si>
  <si>
    <t>Lámina Galvanizada</t>
  </si>
  <si>
    <t>Madera</t>
  </si>
  <si>
    <t xml:space="preserve">Lámina cartón </t>
  </si>
  <si>
    <t>Paredes</t>
  </si>
  <si>
    <t>Piso</t>
  </si>
  <si>
    <t>Tabique</t>
  </si>
  <si>
    <t>Adobe</t>
  </si>
  <si>
    <t>Block</t>
  </si>
  <si>
    <t>Piedra</t>
  </si>
  <si>
    <t>Cartón</t>
  </si>
  <si>
    <t>Cemento</t>
  </si>
  <si>
    <t>Tierra</t>
  </si>
  <si>
    <t>Pertenencia a pueblo indígena</t>
  </si>
  <si>
    <t>Tarahumara</t>
  </si>
  <si>
    <t>Tepehuan</t>
  </si>
  <si>
    <t>Wuarojio</t>
  </si>
  <si>
    <t>Pima</t>
  </si>
  <si>
    <t>Menonita</t>
  </si>
  <si>
    <t>Derechohabiencia</t>
  </si>
  <si>
    <t>INSABI</t>
  </si>
  <si>
    <t>IMSS</t>
  </si>
  <si>
    <t>ISSSTE</t>
  </si>
  <si>
    <t>PEMEX</t>
  </si>
  <si>
    <t>SEDENA</t>
  </si>
  <si>
    <t>OTRO</t>
  </si>
  <si>
    <t>Agua de uso</t>
  </si>
  <si>
    <t>Potable</t>
  </si>
  <si>
    <t>Noria/pozo</t>
  </si>
  <si>
    <t>Río</t>
  </si>
  <si>
    <t>Lluvia</t>
  </si>
  <si>
    <t>Agua consumo</t>
  </si>
  <si>
    <t>Purificada</t>
  </si>
  <si>
    <t>Hervida</t>
  </si>
  <si>
    <t>Clorada</t>
  </si>
  <si>
    <t>Filtrada</t>
  </si>
  <si>
    <t>Excreta</t>
  </si>
  <si>
    <t>Fosa séptica</t>
  </si>
  <si>
    <t xml:space="preserve">Letrina </t>
  </si>
  <si>
    <t>Al ras del suelo</t>
  </si>
  <si>
    <t>Combustible</t>
  </si>
  <si>
    <t>Gas</t>
  </si>
  <si>
    <t xml:space="preserve">Carbón </t>
  </si>
  <si>
    <t>Leña</t>
  </si>
  <si>
    <t>Basura</t>
  </si>
  <si>
    <t>Red municipal</t>
  </si>
  <si>
    <t>Enterramiento</t>
  </si>
  <si>
    <t>Cielo abierto</t>
  </si>
  <si>
    <t>Incineración</t>
  </si>
  <si>
    <t>Alumbrado</t>
  </si>
  <si>
    <t>Red eléctrica</t>
  </si>
  <si>
    <t>Velas</t>
  </si>
  <si>
    <t>Quinque</t>
  </si>
  <si>
    <t>Planta solar</t>
  </si>
  <si>
    <t>4 y más</t>
  </si>
  <si>
    <t>Habitaciones por vivienda</t>
  </si>
  <si>
    <t>perros</t>
  </si>
  <si>
    <t>gatos</t>
  </si>
  <si>
    <t>MASCOTAS</t>
  </si>
  <si>
    <t>MUNICIPIO</t>
  </si>
  <si>
    <t>LOCALIDADES</t>
  </si>
  <si>
    <t>VIVIENDAS ENCUESTADAS</t>
  </si>
  <si>
    <t>URUACHI</t>
  </si>
  <si>
    <t>MORIS</t>
  </si>
  <si>
    <t>URIQUE</t>
  </si>
  <si>
    <t>BOCOYNA</t>
  </si>
  <si>
    <t>GUADALUPE Y CALVO</t>
  </si>
  <si>
    <t>GUACHOCHI</t>
  </si>
  <si>
    <t>BALLEZA</t>
  </si>
  <si>
    <t>BATOPILAS DE GÓMEZ MORIN</t>
  </si>
  <si>
    <t>POBLACIÓN</t>
  </si>
  <si>
    <t>ASISTENTES</t>
  </si>
  <si>
    <t>TOTAL</t>
  </si>
  <si>
    <t>-5 años</t>
  </si>
  <si>
    <t>5 a 9 años</t>
  </si>
  <si>
    <t>10 a 17 años</t>
  </si>
  <si>
    <t>Total</t>
  </si>
  <si>
    <t>ESTADO CIVIL</t>
  </si>
  <si>
    <t>C</t>
  </si>
  <si>
    <t>S</t>
  </si>
  <si>
    <t>UL</t>
  </si>
  <si>
    <t>D</t>
  </si>
  <si>
    <t>V</t>
  </si>
  <si>
    <t>n/d</t>
  </si>
  <si>
    <t>GRADO DE ESTUDIOS</t>
  </si>
  <si>
    <t>primaria</t>
  </si>
  <si>
    <t>secundaria</t>
  </si>
  <si>
    <t>media</t>
  </si>
  <si>
    <t>superior</t>
  </si>
  <si>
    <t>8 municipios</t>
  </si>
  <si>
    <t>OCUPACIÓN</t>
  </si>
  <si>
    <t>PERTENENCIA A UN PUEBLO INDIGENA</t>
  </si>
  <si>
    <t>tarahumara</t>
  </si>
  <si>
    <t>tepehuan</t>
  </si>
  <si>
    <t>wuarojio</t>
  </si>
  <si>
    <t>pima</t>
  </si>
  <si>
    <t>menonita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</si>
</sst>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problemas en la colonia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'Datos  NCG'!$B$231:$B$237</c:f>
              <c:numCache>
                <c:formatCode>"$"#,##0</c:formatCode>
                <c:ptCount val="7"/>
              </c:numCache>
            </c:numRef>
          </c:cat>
          <c:val>
            <c:numRef>
              <c:f>'Datos  NCG'!$C$231:$C$237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A71-4415-B703-F8E176117E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8229504"/>
        <c:axId val="78231040"/>
      </c:barChart>
      <c:catAx>
        <c:axId val="78229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8231040"/>
        <c:crosses val="autoZero"/>
        <c:auto val="1"/>
        <c:lblAlgn val="ctr"/>
        <c:lblOffset val="100"/>
        <c:noMultiLvlLbl val="0"/>
      </c:catAx>
      <c:valAx>
        <c:axId val="78231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8229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el desempeño de la policia es...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2"/>
              <c:layout>
                <c:manualLayout>
                  <c:x val="8.0720800524934605E-2"/>
                  <c:y val="2.63513414989793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2E1-41EF-B3F5-CFA91997C2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f>'Datos  NCG'!$B$259:$B$263</c:f>
              <c:numCache>
                <c:formatCode>"$"#,##0</c:formatCode>
                <c:ptCount val="5"/>
              </c:numCache>
            </c:numRef>
          </c:cat>
          <c:val>
            <c:numRef>
              <c:f>'Datos  NCG'!$C$259:$C$263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2E1-41EF-B3F5-CFA91997C20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Estado</a:t>
            </a:r>
            <a:r>
              <a:rPr lang="en-US" baseline="0"/>
              <a:t> civil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NCG'!$B$17:$B$23</c:f>
              <c:strCache>
                <c:ptCount val="7"/>
                <c:pt idx="0">
                  <c:v>Casado/a</c:v>
                </c:pt>
                <c:pt idx="1">
                  <c:v>Soltero/a</c:v>
                </c:pt>
                <c:pt idx="2">
                  <c:v>Unión libre</c:v>
                </c:pt>
                <c:pt idx="3">
                  <c:v>divorciado/a</c:v>
                </c:pt>
                <c:pt idx="4">
                  <c:v>viudo/a</c:v>
                </c:pt>
                <c:pt idx="5">
                  <c:v>separado/a</c:v>
                </c:pt>
                <c:pt idx="6">
                  <c:v>No dato</c:v>
                </c:pt>
              </c:strCache>
            </c:strRef>
          </c:cat>
          <c:val>
            <c:numRef>
              <c:f>'Datos  NCG'!$C$17:$C$23</c:f>
              <c:numCache>
                <c:formatCode>General</c:formatCode>
                <c:ptCount val="7"/>
                <c:pt idx="0">
                  <c:v>91</c:v>
                </c:pt>
                <c:pt idx="1">
                  <c:v>426</c:v>
                </c:pt>
                <c:pt idx="2">
                  <c:v>433</c:v>
                </c:pt>
                <c:pt idx="3">
                  <c:v>5</c:v>
                </c:pt>
                <c:pt idx="4">
                  <c:v>47</c:v>
                </c:pt>
                <c:pt idx="5">
                  <c:v>27</c:v>
                </c:pt>
                <c:pt idx="6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2-462C-ACC6-71C9D60A9A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4185856"/>
        <c:axId val="84187392"/>
      </c:barChart>
      <c:catAx>
        <c:axId val="841858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84187392"/>
        <c:crosses val="autoZero"/>
        <c:auto val="1"/>
        <c:lblAlgn val="ctr"/>
        <c:lblOffset val="100"/>
        <c:noMultiLvlLbl val="0"/>
      </c:catAx>
      <c:valAx>
        <c:axId val="84187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84185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 Paredes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NCG'!$B$71:$B$76</c:f>
              <c:strCache>
                <c:ptCount val="6"/>
                <c:pt idx="0">
                  <c:v>Tabique</c:v>
                </c:pt>
                <c:pt idx="1">
                  <c:v>Adobe</c:v>
                </c:pt>
                <c:pt idx="2">
                  <c:v>Block</c:v>
                </c:pt>
                <c:pt idx="3">
                  <c:v>Madera</c:v>
                </c:pt>
                <c:pt idx="4">
                  <c:v>Piedra</c:v>
                </c:pt>
                <c:pt idx="5">
                  <c:v>Cartón</c:v>
                </c:pt>
              </c:strCache>
            </c:strRef>
          </c:cat>
          <c:val>
            <c:numRef>
              <c:f>'Datos  NCG'!$C$71:$C$76</c:f>
              <c:numCache>
                <c:formatCode>General</c:formatCode>
                <c:ptCount val="6"/>
                <c:pt idx="0">
                  <c:v>14</c:v>
                </c:pt>
                <c:pt idx="1">
                  <c:v>255</c:v>
                </c:pt>
                <c:pt idx="2">
                  <c:v>39</c:v>
                </c:pt>
                <c:pt idx="3">
                  <c:v>82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D-454A-B575-6F00645964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4208256"/>
        <c:axId val="84210048"/>
      </c:barChart>
      <c:catAx>
        <c:axId val="8420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4210048"/>
        <c:crosses val="autoZero"/>
        <c:auto val="1"/>
        <c:lblAlgn val="ctr"/>
        <c:lblOffset val="100"/>
        <c:noMultiLvlLbl val="0"/>
      </c:catAx>
      <c:valAx>
        <c:axId val="84210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84208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Techo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NCG'!$B$83:$B$87</c:f>
              <c:strCache>
                <c:ptCount val="5"/>
                <c:pt idx="0">
                  <c:v>Concreto</c:v>
                </c:pt>
                <c:pt idx="1">
                  <c:v>Lámina Galvanizada</c:v>
                </c:pt>
                <c:pt idx="2">
                  <c:v>Madera</c:v>
                </c:pt>
                <c:pt idx="3">
                  <c:v>Lámina cartón </c:v>
                </c:pt>
                <c:pt idx="4">
                  <c:v>otro</c:v>
                </c:pt>
              </c:strCache>
            </c:strRef>
          </c:cat>
          <c:val>
            <c:numRef>
              <c:f>'Datos  NCG'!$C$83:$C$87</c:f>
              <c:numCache>
                <c:formatCode>General</c:formatCode>
                <c:ptCount val="5"/>
                <c:pt idx="0">
                  <c:v>17</c:v>
                </c:pt>
                <c:pt idx="1">
                  <c:v>351</c:v>
                </c:pt>
                <c:pt idx="2">
                  <c:v>14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F-4427-8F49-706BC209F5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5173248"/>
        <c:axId val="95199616"/>
      </c:barChart>
      <c:catAx>
        <c:axId val="95173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5199616"/>
        <c:crosses val="autoZero"/>
        <c:auto val="1"/>
        <c:lblAlgn val="ctr"/>
        <c:lblOffset val="100"/>
        <c:noMultiLvlLbl val="0"/>
      </c:catAx>
      <c:valAx>
        <c:axId val="9519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95173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Pertenencia a algun pueblo indígena</a:t>
            </a:r>
          </a:p>
        </c:rich>
      </c:tx>
      <c:layout>
        <c:manualLayout>
          <c:xMode val="edge"/>
          <c:yMode val="edge"/>
          <c:x val="0.12958277032295584"/>
          <c:y val="3.74316554161745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NCG'!$B$90:$B$95</c:f>
              <c:strCache>
                <c:ptCount val="6"/>
                <c:pt idx="0">
                  <c:v>Tarahumara</c:v>
                </c:pt>
                <c:pt idx="1">
                  <c:v>Tepehuan</c:v>
                </c:pt>
                <c:pt idx="2">
                  <c:v>Wuarojio</c:v>
                </c:pt>
                <c:pt idx="3">
                  <c:v>Pima</c:v>
                </c:pt>
                <c:pt idx="4">
                  <c:v>Menonita</c:v>
                </c:pt>
                <c:pt idx="5">
                  <c:v>Otro</c:v>
                </c:pt>
              </c:strCache>
            </c:strRef>
          </c:cat>
          <c:val>
            <c:numRef>
              <c:f>'Datos  NCG'!$C$90:$C$95</c:f>
              <c:numCache>
                <c:formatCode>General</c:formatCode>
                <c:ptCount val="6"/>
                <c:pt idx="0">
                  <c:v>299</c:v>
                </c:pt>
                <c:pt idx="1">
                  <c:v>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5-4425-B38B-3A733BB66E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502720"/>
        <c:axId val="95504256"/>
      </c:barChart>
      <c:catAx>
        <c:axId val="955027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5504256"/>
        <c:crosses val="autoZero"/>
        <c:auto val="1"/>
        <c:lblAlgn val="ctr"/>
        <c:lblOffset val="100"/>
        <c:noMultiLvlLbl val="0"/>
      </c:catAx>
      <c:valAx>
        <c:axId val="9550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5502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 sz="1400"/>
              <a:t>Piso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NCG'!$B$98:$B$101</c:f>
              <c:strCache>
                <c:ptCount val="4"/>
                <c:pt idx="0">
                  <c:v>Cemento</c:v>
                </c:pt>
                <c:pt idx="1">
                  <c:v>Madera</c:v>
                </c:pt>
                <c:pt idx="2">
                  <c:v>Tierra</c:v>
                </c:pt>
                <c:pt idx="3">
                  <c:v>Piedra</c:v>
                </c:pt>
              </c:strCache>
            </c:strRef>
          </c:cat>
          <c:val>
            <c:numRef>
              <c:f>'Datos  NCG'!$C$98:$C$101</c:f>
              <c:numCache>
                <c:formatCode>General</c:formatCode>
                <c:ptCount val="4"/>
                <c:pt idx="0">
                  <c:v>111</c:v>
                </c:pt>
                <c:pt idx="1">
                  <c:v>7</c:v>
                </c:pt>
                <c:pt idx="2">
                  <c:v>250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D-413E-89B9-ECFD4D6076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537408"/>
        <c:axId val="95539200"/>
      </c:barChart>
      <c:catAx>
        <c:axId val="9553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5539200"/>
        <c:crosses val="autoZero"/>
        <c:auto val="1"/>
        <c:lblAlgn val="ctr"/>
        <c:lblOffset val="100"/>
        <c:noMultiLvlLbl val="0"/>
      </c:catAx>
      <c:valAx>
        <c:axId val="955392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5537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Derechohabiencia</a:t>
            </a:r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517771750613376"/>
          <c:y val="0.21166011850330516"/>
          <c:w val="0.7964095731301537"/>
          <c:h val="0.56892221618789673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NCG'!$B$105:$B$110</c:f>
              <c:strCache>
                <c:ptCount val="6"/>
                <c:pt idx="0">
                  <c:v>INSABI</c:v>
                </c:pt>
                <c:pt idx="1">
                  <c:v>IMSS</c:v>
                </c:pt>
                <c:pt idx="2">
                  <c:v>ISSSTE</c:v>
                </c:pt>
                <c:pt idx="3">
                  <c:v>PEMEX</c:v>
                </c:pt>
                <c:pt idx="4">
                  <c:v>SEDENA</c:v>
                </c:pt>
                <c:pt idx="5">
                  <c:v>OTRO</c:v>
                </c:pt>
              </c:strCache>
            </c:strRef>
          </c:cat>
          <c:val>
            <c:numRef>
              <c:f>'Datos  NCG'!$C$105:$C$110</c:f>
              <c:numCache>
                <c:formatCode>General</c:formatCode>
                <c:ptCount val="6"/>
                <c:pt idx="0">
                  <c:v>192</c:v>
                </c:pt>
                <c:pt idx="1">
                  <c:v>33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F-4642-93B9-08AF4CCD3F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95249152"/>
        <c:axId val="95250688"/>
        <c:axId val="0"/>
      </c:bar3DChart>
      <c:catAx>
        <c:axId val="9524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5250688"/>
        <c:crosses val="autoZero"/>
        <c:auto val="1"/>
        <c:lblAlgn val="ctr"/>
        <c:lblOffset val="100"/>
        <c:noMultiLvlLbl val="0"/>
      </c:catAx>
      <c:valAx>
        <c:axId val="952506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5249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5"/>
    </mc:Choice>
    <mc:Fallback>
      <c:style val="2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Número de habitaciones por vivienda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NCG'!$B$113:$B$117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 y más</c:v>
                </c:pt>
                <c:pt idx="4">
                  <c:v>No dato</c:v>
                </c:pt>
              </c:strCache>
            </c:strRef>
          </c:cat>
          <c:val>
            <c:numRef>
              <c:f>'Datos  NCG'!$C$113:$C$117</c:f>
              <c:numCache>
                <c:formatCode>General</c:formatCode>
                <c:ptCount val="5"/>
                <c:pt idx="0">
                  <c:v>165</c:v>
                </c:pt>
                <c:pt idx="1">
                  <c:v>113</c:v>
                </c:pt>
                <c:pt idx="2">
                  <c:v>69</c:v>
                </c:pt>
                <c:pt idx="3">
                  <c:v>34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2-4CB2-865C-8C86A84A84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279744"/>
        <c:axId val="95281536"/>
      </c:barChart>
      <c:catAx>
        <c:axId val="9527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95281536"/>
        <c:crosses val="autoZero"/>
        <c:auto val="1"/>
        <c:lblAlgn val="ctr"/>
        <c:lblOffset val="100"/>
        <c:noMultiLvlLbl val="0"/>
      </c:catAx>
      <c:valAx>
        <c:axId val="95281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5279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Agua</a:t>
            </a:r>
            <a:r>
              <a:rPr lang="en-US" baseline="0"/>
              <a:t> de uso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NCG'!$B$121:$B$125</c:f>
              <c:strCache>
                <c:ptCount val="5"/>
                <c:pt idx="0">
                  <c:v>Potable</c:v>
                </c:pt>
                <c:pt idx="1">
                  <c:v>Noria/pozo</c:v>
                </c:pt>
                <c:pt idx="2">
                  <c:v>Río</c:v>
                </c:pt>
                <c:pt idx="3">
                  <c:v>Lluvia</c:v>
                </c:pt>
                <c:pt idx="4">
                  <c:v>No dato</c:v>
                </c:pt>
              </c:strCache>
            </c:strRef>
          </c:cat>
          <c:val>
            <c:numRef>
              <c:f>'Datos  NCG'!$C$121:$C$125</c:f>
              <c:numCache>
                <c:formatCode>General</c:formatCode>
                <c:ptCount val="5"/>
                <c:pt idx="0">
                  <c:v>70</c:v>
                </c:pt>
                <c:pt idx="1">
                  <c:v>272</c:v>
                </c:pt>
                <c:pt idx="2">
                  <c:v>29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1-40E5-94F1-347EFBE8C8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380224"/>
        <c:axId val="95381760"/>
      </c:barChart>
      <c:catAx>
        <c:axId val="953802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5381760"/>
        <c:crosses val="autoZero"/>
        <c:auto val="1"/>
        <c:lblAlgn val="ctr"/>
        <c:lblOffset val="100"/>
        <c:noMultiLvlLbl val="0"/>
      </c:catAx>
      <c:valAx>
        <c:axId val="9538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5380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5"/>
    </mc:Choice>
    <mc:Fallback>
      <c:style val="2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Agua consumo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NCG'!$B$129:$B$134</c:f>
              <c:strCache>
                <c:ptCount val="6"/>
                <c:pt idx="0">
                  <c:v>Potable</c:v>
                </c:pt>
                <c:pt idx="1">
                  <c:v>Purificada</c:v>
                </c:pt>
                <c:pt idx="2">
                  <c:v>Hervida</c:v>
                </c:pt>
                <c:pt idx="3">
                  <c:v>Clorada</c:v>
                </c:pt>
                <c:pt idx="4">
                  <c:v>Filtrada</c:v>
                </c:pt>
                <c:pt idx="5">
                  <c:v>No dato</c:v>
                </c:pt>
              </c:strCache>
            </c:strRef>
          </c:cat>
          <c:val>
            <c:numRef>
              <c:f>'Datos  NCG'!$C$129:$C$134</c:f>
              <c:numCache>
                <c:formatCode>General</c:formatCode>
                <c:ptCount val="6"/>
                <c:pt idx="0">
                  <c:v>151</c:v>
                </c:pt>
                <c:pt idx="1">
                  <c:v>10</c:v>
                </c:pt>
                <c:pt idx="2">
                  <c:v>110</c:v>
                </c:pt>
                <c:pt idx="3">
                  <c:v>27</c:v>
                </c:pt>
                <c:pt idx="4">
                  <c:v>7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5-4E37-8A86-5732BAB7D6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398528"/>
        <c:axId val="95416704"/>
      </c:barChart>
      <c:catAx>
        <c:axId val="9539852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5416704"/>
        <c:crosses val="autoZero"/>
        <c:auto val="1"/>
        <c:lblAlgn val="ctr"/>
        <c:lblOffset val="100"/>
        <c:noMultiLvlLbl val="0"/>
      </c:catAx>
      <c:valAx>
        <c:axId val="95416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95398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Excreta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NCG'!$B$137:$B$140</c:f>
              <c:strCache>
                <c:ptCount val="4"/>
                <c:pt idx="0">
                  <c:v>Fosa séptica</c:v>
                </c:pt>
                <c:pt idx="1">
                  <c:v>Letrina </c:v>
                </c:pt>
                <c:pt idx="2">
                  <c:v>Al ras del suelo</c:v>
                </c:pt>
                <c:pt idx="3">
                  <c:v>No dato</c:v>
                </c:pt>
              </c:strCache>
            </c:strRef>
          </c:cat>
          <c:val>
            <c:numRef>
              <c:f>'Datos  NCG'!$C$137:$C$140</c:f>
              <c:numCache>
                <c:formatCode>General</c:formatCode>
                <c:ptCount val="4"/>
                <c:pt idx="0">
                  <c:v>56</c:v>
                </c:pt>
                <c:pt idx="1">
                  <c:v>202</c:v>
                </c:pt>
                <c:pt idx="2">
                  <c:v>67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1-4484-A30D-C709974EE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5433472"/>
        <c:axId val="95435008"/>
      </c:barChart>
      <c:catAx>
        <c:axId val="95433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5435008"/>
        <c:crosses val="autoZero"/>
        <c:auto val="1"/>
        <c:lblAlgn val="ctr"/>
        <c:lblOffset val="100"/>
        <c:noMultiLvlLbl val="0"/>
      </c:catAx>
      <c:valAx>
        <c:axId val="954350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95433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Combustible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NCG'!$B$144:$B$147</c:f>
              <c:strCache>
                <c:ptCount val="4"/>
                <c:pt idx="0">
                  <c:v>Carbón </c:v>
                </c:pt>
                <c:pt idx="1">
                  <c:v>Gas</c:v>
                </c:pt>
                <c:pt idx="2">
                  <c:v>Leña</c:v>
                </c:pt>
                <c:pt idx="3">
                  <c:v>No dato</c:v>
                </c:pt>
              </c:strCache>
            </c:strRef>
          </c:cat>
          <c:val>
            <c:numRef>
              <c:f>'Datos  NCG'!$C$144:$C$147</c:f>
              <c:numCache>
                <c:formatCode>General</c:formatCode>
                <c:ptCount val="4"/>
                <c:pt idx="0">
                  <c:v>54</c:v>
                </c:pt>
                <c:pt idx="1">
                  <c:v>7</c:v>
                </c:pt>
                <c:pt idx="2">
                  <c:v>319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2-4629-A659-C623EC86F3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5554176"/>
        <c:axId val="95560064"/>
      </c:barChart>
      <c:catAx>
        <c:axId val="955541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5560064"/>
        <c:crosses val="autoZero"/>
        <c:auto val="1"/>
        <c:lblAlgn val="ctr"/>
        <c:lblOffset val="100"/>
        <c:noMultiLvlLbl val="0"/>
      </c:catAx>
      <c:valAx>
        <c:axId val="9556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95554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Basura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NCG'!$B$151:$B$155</c:f>
              <c:strCache>
                <c:ptCount val="5"/>
                <c:pt idx="0">
                  <c:v>Red municipal</c:v>
                </c:pt>
                <c:pt idx="1">
                  <c:v>Enterramiento</c:v>
                </c:pt>
                <c:pt idx="2">
                  <c:v>Cielo abierto</c:v>
                </c:pt>
                <c:pt idx="3">
                  <c:v>Incineración</c:v>
                </c:pt>
                <c:pt idx="4">
                  <c:v>No dato</c:v>
                </c:pt>
              </c:strCache>
            </c:strRef>
          </c:cat>
          <c:val>
            <c:numRef>
              <c:f>'Datos  NCG'!$C$151:$C$155</c:f>
              <c:numCache>
                <c:formatCode>General</c:formatCode>
                <c:ptCount val="5"/>
                <c:pt idx="0">
                  <c:v>50</c:v>
                </c:pt>
                <c:pt idx="1">
                  <c:v>82</c:v>
                </c:pt>
                <c:pt idx="2">
                  <c:v>39</c:v>
                </c:pt>
                <c:pt idx="3">
                  <c:v>176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3-401A-AF80-8B8E12C4F0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5576832"/>
        <c:axId val="95578368"/>
      </c:barChart>
      <c:catAx>
        <c:axId val="955768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5578368"/>
        <c:crosses val="autoZero"/>
        <c:auto val="1"/>
        <c:lblAlgn val="ctr"/>
        <c:lblOffset val="100"/>
        <c:noMultiLvlLbl val="0"/>
      </c:catAx>
      <c:valAx>
        <c:axId val="95578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5576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Alumbrado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3517984813855367"/>
          <c:y val="0.37432441304471287"/>
          <c:w val="0.71594896327902668"/>
          <c:h val="0.625675586955288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NCG'!$B$160:$B$164</c:f>
              <c:strCache>
                <c:ptCount val="5"/>
                <c:pt idx="0">
                  <c:v>Red eléctrica</c:v>
                </c:pt>
                <c:pt idx="1">
                  <c:v>Velas</c:v>
                </c:pt>
                <c:pt idx="2">
                  <c:v>Quinque</c:v>
                </c:pt>
                <c:pt idx="3">
                  <c:v>Planta solar</c:v>
                </c:pt>
                <c:pt idx="4">
                  <c:v>No dato</c:v>
                </c:pt>
              </c:strCache>
            </c:strRef>
          </c:cat>
          <c:val>
            <c:numRef>
              <c:f>'Datos  NCG'!$C$160:$C$164</c:f>
              <c:numCache>
                <c:formatCode>General</c:formatCode>
                <c:ptCount val="5"/>
                <c:pt idx="0">
                  <c:v>93</c:v>
                </c:pt>
                <c:pt idx="1">
                  <c:v>170</c:v>
                </c:pt>
                <c:pt idx="2">
                  <c:v>2</c:v>
                </c:pt>
                <c:pt idx="3">
                  <c:v>90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4-46B5-9D5A-B02BD2AC94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5615616"/>
        <c:axId val="95945088"/>
      </c:barChart>
      <c:catAx>
        <c:axId val="956156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5945088"/>
        <c:crosses val="autoZero"/>
        <c:auto val="1"/>
        <c:lblAlgn val="ctr"/>
        <c:lblOffset val="100"/>
        <c:noMultiLvlLbl val="0"/>
      </c:catAx>
      <c:valAx>
        <c:axId val="95945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5615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Planificación</a:t>
            </a:r>
            <a:r>
              <a:rPr lang="en-US" sz="2000" baseline="0"/>
              <a:t> familiar</a:t>
            </a:r>
            <a:endParaRPr lang="en-US" sz="20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NCG'!$B$62:$B$68</c:f>
              <c:strCache>
                <c:ptCount val="7"/>
                <c:pt idx="0">
                  <c:v>DIU</c:v>
                </c:pt>
                <c:pt idx="1">
                  <c:v>ORALES</c:v>
                </c:pt>
                <c:pt idx="2">
                  <c:v>PRESERVATIVOS</c:v>
                </c:pt>
                <c:pt idx="3">
                  <c:v>INYECCIÓN MENSUAL</c:v>
                </c:pt>
                <c:pt idx="4">
                  <c:v>INYECCIÓN BIMENSUAL</c:v>
                </c:pt>
                <c:pt idx="5">
                  <c:v>IMPLANTES</c:v>
                </c:pt>
                <c:pt idx="6">
                  <c:v>SALPINGO/OTB</c:v>
                </c:pt>
              </c:strCache>
            </c:strRef>
          </c:cat>
          <c:val>
            <c:numRef>
              <c:f>'Datos  NCG'!$C$62:$C$68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9</c:v>
                </c:pt>
                <c:pt idx="3">
                  <c:v>5</c:v>
                </c:pt>
                <c:pt idx="4">
                  <c:v>3</c:v>
                </c:pt>
                <c:pt idx="5">
                  <c:v>89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4-4C66-AEE8-47A903AC94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6058752"/>
        <c:axId val="96064640"/>
      </c:barChart>
      <c:catAx>
        <c:axId val="96058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6064640"/>
        <c:crosses val="autoZero"/>
        <c:auto val="1"/>
        <c:lblAlgn val="ctr"/>
        <c:lblOffset val="100"/>
        <c:noMultiLvlLbl val="0"/>
      </c:catAx>
      <c:valAx>
        <c:axId val="96064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96058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Detecciones y padecimientos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'Datos  NCG'!$B$27:$B$34</c:f>
              <c:strCache>
                <c:ptCount val="7"/>
                <c:pt idx="0">
                  <c:v>papanicolau</c:v>
                </c:pt>
                <c:pt idx="1">
                  <c:v>hipertensión </c:v>
                </c:pt>
                <c:pt idx="2">
                  <c:v>diabetes</c:v>
                </c:pt>
                <c:pt idx="3">
                  <c:v>tuberculosis</c:v>
                </c:pt>
                <c:pt idx="4">
                  <c:v>alcoholismo</c:v>
                </c:pt>
                <c:pt idx="5">
                  <c:v>tabaquismo</c:v>
                </c:pt>
                <c:pt idx="6">
                  <c:v>cáncer</c:v>
                </c:pt>
              </c:strCache>
            </c:strRef>
          </c:cat>
          <c:val>
            <c:numRef>
              <c:f>'Datos  NCG'!$C$27:$C$34</c:f>
              <c:numCache>
                <c:formatCode>General</c:formatCode>
                <c:ptCount val="8"/>
                <c:pt idx="0">
                  <c:v>101</c:v>
                </c:pt>
                <c:pt idx="1">
                  <c:v>52</c:v>
                </c:pt>
                <c:pt idx="2">
                  <c:v>32</c:v>
                </c:pt>
                <c:pt idx="3">
                  <c:v>2</c:v>
                </c:pt>
                <c:pt idx="4">
                  <c:v>22</c:v>
                </c:pt>
                <c:pt idx="5">
                  <c:v>13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07A-BCEE-4F2AF3A26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6167040"/>
        <c:axId val="96168576"/>
        <c:axId val="0"/>
      </c:bar3DChart>
      <c:catAx>
        <c:axId val="961670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6168576"/>
        <c:crosses val="autoZero"/>
        <c:auto val="1"/>
        <c:lblAlgn val="ctr"/>
        <c:lblOffset val="100"/>
        <c:noMultiLvlLbl val="0"/>
      </c:catAx>
      <c:valAx>
        <c:axId val="9616857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96167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Número de mascotas por vivienda</a:t>
            </a:r>
          </a:p>
        </c:rich>
      </c:tx>
      <c:layout>
        <c:manualLayout>
          <c:xMode val="edge"/>
          <c:yMode val="edge"/>
          <c:x val="0.13780617697197567"/>
          <c:y val="0"/>
        </c:manualLayout>
      </c:layout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'Datos  NCG'!$C$172</c:f>
              <c:strCache>
                <c:ptCount val="1"/>
                <c:pt idx="0">
                  <c:v>perros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9D-476B-B741-0D3958BF0B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'Datos  NCG'!$B$173:$B$178</c:f>
              <c:numCache>
                <c:formatCode>General</c:formatCode>
                <c:ptCount val="6"/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cat>
          <c:val>
            <c:numRef>
              <c:f>'Datos  NCG'!$C$173:$C$178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29</c:v>
                </c:pt>
                <c:pt idx="3">
                  <c:v>100</c:v>
                </c:pt>
                <c:pt idx="4">
                  <c:v>121</c:v>
                </c:pt>
                <c:pt idx="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D-476B-B741-0D3958BF0BFC}"/>
            </c:ext>
          </c:extLst>
        </c:ser>
        <c:ser>
          <c:idx val="1"/>
          <c:order val="1"/>
          <c:tx>
            <c:strRef>
              <c:f>'Datos  NCG'!$D$172</c:f>
              <c:strCache>
                <c:ptCount val="1"/>
                <c:pt idx="0">
                  <c:v>gatos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9D-476B-B741-0D3958BF0B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'Datos  NCG'!$B$173:$B$178</c:f>
              <c:numCache>
                <c:formatCode>General</c:formatCode>
                <c:ptCount val="6"/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cat>
          <c:val>
            <c:numRef>
              <c:f>'Datos  NCG'!$D$173:$D$178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29</c:v>
                </c:pt>
                <c:pt idx="4">
                  <c:v>116</c:v>
                </c:pt>
                <c:pt idx="5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D-476B-B741-0D3958BF0B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6223232"/>
        <c:axId val="96224768"/>
      </c:barChart>
      <c:catAx>
        <c:axId val="9622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96224768"/>
        <c:crosses val="autoZero"/>
        <c:auto val="1"/>
        <c:lblAlgn val="ctr"/>
        <c:lblOffset val="100"/>
        <c:noMultiLvlLbl val="0"/>
      </c:catAx>
      <c:valAx>
        <c:axId val="96224768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9622323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Distribución</a:t>
            </a:r>
            <a:r>
              <a:rPr lang="en-US" sz="1400" baseline="0"/>
              <a:t> de la población por sexo y edad</a:t>
            </a:r>
            <a:endParaRPr lang="en-US" sz="1400"/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'Datos  NCG'!$C$7:$C$8</c:f>
              <c:strCache>
                <c:ptCount val="2"/>
                <c:pt idx="1">
                  <c:v>Hombres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3.333333333333333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C13-4F15-832D-72DA8F09079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NCG'!$B$9:$B$14</c:f>
              <c:strCache>
                <c:ptCount val="6"/>
                <c:pt idx="0">
                  <c:v>menor de 5 años</c:v>
                </c:pt>
                <c:pt idx="1">
                  <c:v>de 5 a 9 años</c:v>
                </c:pt>
                <c:pt idx="2">
                  <c:v>de 10 a 17 años</c:v>
                </c:pt>
                <c:pt idx="3">
                  <c:v>18 a 59 años</c:v>
                </c:pt>
                <c:pt idx="4">
                  <c:v>60 años y más</c:v>
                </c:pt>
                <c:pt idx="5">
                  <c:v>No dato</c:v>
                </c:pt>
              </c:strCache>
            </c:strRef>
          </c:cat>
          <c:val>
            <c:numRef>
              <c:f>'Datos  NCG'!$C$9:$C$14</c:f>
              <c:numCache>
                <c:formatCode>General</c:formatCode>
                <c:ptCount val="6"/>
                <c:pt idx="0">
                  <c:v>92</c:v>
                </c:pt>
                <c:pt idx="1">
                  <c:v>84</c:v>
                </c:pt>
                <c:pt idx="2">
                  <c:v>117</c:v>
                </c:pt>
                <c:pt idx="3">
                  <c:v>264</c:v>
                </c:pt>
                <c:pt idx="4">
                  <c:v>49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3-4F15-832D-72DA8F09079B}"/>
            </c:ext>
          </c:extLst>
        </c:ser>
        <c:ser>
          <c:idx val="1"/>
          <c:order val="1"/>
          <c:tx>
            <c:strRef>
              <c:f>'Datos  NCG'!$D$7:$D$8</c:f>
              <c:strCache>
                <c:ptCount val="2"/>
                <c:pt idx="1">
                  <c:v>Mujeres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NCG'!$B$9:$B$14</c:f>
              <c:strCache>
                <c:ptCount val="6"/>
                <c:pt idx="0">
                  <c:v>menor de 5 años</c:v>
                </c:pt>
                <c:pt idx="1">
                  <c:v>de 5 a 9 años</c:v>
                </c:pt>
                <c:pt idx="2">
                  <c:v>de 10 a 17 años</c:v>
                </c:pt>
                <c:pt idx="3">
                  <c:v>18 a 59 años</c:v>
                </c:pt>
                <c:pt idx="4">
                  <c:v>60 años y más</c:v>
                </c:pt>
                <c:pt idx="5">
                  <c:v>No dato</c:v>
                </c:pt>
              </c:strCache>
            </c:strRef>
          </c:cat>
          <c:val>
            <c:numRef>
              <c:f>'Datos  NCG'!$D$9:$D$14</c:f>
              <c:numCache>
                <c:formatCode>General</c:formatCode>
                <c:ptCount val="6"/>
                <c:pt idx="0">
                  <c:v>84</c:v>
                </c:pt>
                <c:pt idx="1">
                  <c:v>73</c:v>
                </c:pt>
                <c:pt idx="2">
                  <c:v>116</c:v>
                </c:pt>
                <c:pt idx="3">
                  <c:v>315</c:v>
                </c:pt>
                <c:pt idx="4">
                  <c:v>51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3-4F15-832D-72DA8F0907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6263552"/>
        <c:axId val="96265344"/>
      </c:barChart>
      <c:catAx>
        <c:axId val="9626355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6265344"/>
        <c:crosses val="autoZero"/>
        <c:auto val="1"/>
        <c:lblAlgn val="ctr"/>
        <c:lblOffset val="100"/>
        <c:noMultiLvlLbl val="0"/>
      </c:catAx>
      <c:valAx>
        <c:axId val="96265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26355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Número de población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'Datos  NCG'!$B$3:$B$5</c:f>
              <c:strCache>
                <c:ptCount val="3"/>
                <c:pt idx="0">
                  <c:v>Hombres</c:v>
                </c:pt>
                <c:pt idx="1">
                  <c:v>Mujeres</c:v>
                </c:pt>
                <c:pt idx="2">
                  <c:v>No dato</c:v>
                </c:pt>
              </c:strCache>
            </c:strRef>
          </c:cat>
          <c:val>
            <c:numRef>
              <c:f>'Datos  NCG'!$C$3:$C$5</c:f>
              <c:numCache>
                <c:formatCode>General</c:formatCode>
                <c:ptCount val="3"/>
                <c:pt idx="0">
                  <c:v>640</c:v>
                </c:pt>
                <c:pt idx="1">
                  <c:v>686</c:v>
                </c:pt>
                <c:pt idx="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9-46D7-B21D-24A77894BA1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7CD0-462A-963A-6610122A99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CD0-462A-963A-6610122A99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 NCG'!$B$79:$B$80</c:f>
              <c:strCache>
                <c:ptCount val="2"/>
                <c:pt idx="0">
                  <c:v>No. de embarazadas</c:v>
                </c:pt>
                <c:pt idx="1">
                  <c:v>No. de embarazadas en control</c:v>
                </c:pt>
              </c:strCache>
            </c:strRef>
          </c:cat>
          <c:val>
            <c:numRef>
              <c:f>'Datos  NCG'!$C$79:$C$80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'Datos  NCG'!#REF!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CD0-462A-963A-6610122A99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53209568"/>
        <c:axId val="253211648"/>
      </c:barChart>
      <c:catAx>
        <c:axId val="2532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3211648"/>
        <c:crosses val="autoZero"/>
        <c:auto val="1"/>
        <c:lblAlgn val="ctr"/>
        <c:lblOffset val="100"/>
        <c:noMultiLvlLbl val="0"/>
      </c:catAx>
      <c:valAx>
        <c:axId val="2532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32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Número</a:t>
            </a:r>
            <a:r>
              <a:rPr lang="en-US" baseline="0"/>
              <a:t> de población</a:t>
            </a:r>
            <a:r>
              <a:rPr lang="en-US"/>
              <a:t> </a:t>
            </a:r>
          </a:p>
          <a:p>
            <a:pPr>
              <a:defRPr/>
            </a:pPr>
            <a:r>
              <a:rPr lang="en-US"/>
              <a:t>978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2B82-4FD8-91A8-6876B11F6C4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'Datos  NCG'!$B$3:$B$4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'Datos  NCG'!$C$3:$C$4</c:f>
              <c:numCache>
                <c:formatCode>General</c:formatCode>
                <c:ptCount val="2"/>
                <c:pt idx="0">
                  <c:v>640</c:v>
                </c:pt>
                <c:pt idx="1">
                  <c:v>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2-4FD8-91A8-6876B11F6C4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por</a:t>
            </a:r>
            <a:r>
              <a:rPr lang="en-US" baseline="0"/>
              <a:t> edad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'Datos  NCG'!$B$9:$B$14</c:f>
              <c:strCache>
                <c:ptCount val="6"/>
                <c:pt idx="0">
                  <c:v>menor de 5 años</c:v>
                </c:pt>
                <c:pt idx="1">
                  <c:v>de 5 a 9 años</c:v>
                </c:pt>
                <c:pt idx="2">
                  <c:v>de 10 a 17 años</c:v>
                </c:pt>
                <c:pt idx="3">
                  <c:v>18 a 59 años</c:v>
                </c:pt>
                <c:pt idx="4">
                  <c:v>60 años y más</c:v>
                </c:pt>
                <c:pt idx="5">
                  <c:v>No dato</c:v>
                </c:pt>
              </c:strCache>
            </c:strRef>
          </c:cat>
          <c:val>
            <c:numRef>
              <c:f>'Datos  NCG'!$C$9:$C$14</c:f>
              <c:numCache>
                <c:formatCode>General</c:formatCode>
                <c:ptCount val="6"/>
                <c:pt idx="0">
                  <c:v>92</c:v>
                </c:pt>
                <c:pt idx="1">
                  <c:v>84</c:v>
                </c:pt>
                <c:pt idx="2">
                  <c:v>117</c:v>
                </c:pt>
                <c:pt idx="3">
                  <c:v>264</c:v>
                </c:pt>
                <c:pt idx="4">
                  <c:v>49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F-4E84-854A-316A1D2B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1744"/>
        <c:axId val="97393280"/>
      </c:barChart>
      <c:catAx>
        <c:axId val="97391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7393280"/>
        <c:crosses val="autoZero"/>
        <c:auto val="1"/>
        <c:lblAlgn val="ctr"/>
        <c:lblOffset val="100"/>
        <c:noMultiLvlLbl val="0"/>
      </c:catAx>
      <c:valAx>
        <c:axId val="9739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391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distribución por nivel de estudios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NCG'!$B$37:$B$44</c:f>
              <c:strCache>
                <c:ptCount val="8"/>
                <c:pt idx="0">
                  <c:v>sabe leer y escribir</c:v>
                </c:pt>
                <c:pt idx="1">
                  <c:v>analfabeta</c:v>
                </c:pt>
                <c:pt idx="2">
                  <c:v>preescolar</c:v>
                </c:pt>
                <c:pt idx="3">
                  <c:v>Primaria</c:v>
                </c:pt>
                <c:pt idx="4">
                  <c:v>Secundaria</c:v>
                </c:pt>
                <c:pt idx="5">
                  <c:v>Educacion media</c:v>
                </c:pt>
                <c:pt idx="6">
                  <c:v>Superior</c:v>
                </c:pt>
                <c:pt idx="7">
                  <c:v>no dato</c:v>
                </c:pt>
              </c:strCache>
            </c:strRef>
          </c:cat>
          <c:val>
            <c:numRef>
              <c:f>'Datos  NCG'!$C$37:$C$44</c:f>
              <c:numCache>
                <c:formatCode>General</c:formatCode>
                <c:ptCount val="8"/>
                <c:pt idx="0">
                  <c:v>457</c:v>
                </c:pt>
                <c:pt idx="1">
                  <c:v>217</c:v>
                </c:pt>
                <c:pt idx="2">
                  <c:v>67</c:v>
                </c:pt>
                <c:pt idx="3">
                  <c:v>436</c:v>
                </c:pt>
                <c:pt idx="4">
                  <c:v>155</c:v>
                </c:pt>
                <c:pt idx="5">
                  <c:v>72</c:v>
                </c:pt>
                <c:pt idx="6">
                  <c:v>8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2-4C72-9DD6-A1F862C04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085888"/>
        <c:axId val="98100352"/>
      </c:barChart>
      <c:catAx>
        <c:axId val="9808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Nivel de estudios</a:t>
                </a:r>
              </a:p>
            </c:rich>
          </c:tx>
          <c:layout>
            <c:manualLayout>
              <c:xMode val="edge"/>
              <c:yMode val="edge"/>
              <c:x val="0.40735754184573081"/>
              <c:y val="0.88360293113649813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8100352"/>
        <c:crosses val="autoZero"/>
        <c:auto val="1"/>
        <c:lblAlgn val="ctr"/>
        <c:lblOffset val="100"/>
        <c:noMultiLvlLbl val="0"/>
      </c:catAx>
      <c:valAx>
        <c:axId val="98100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Cantidad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8085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Ocupación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0"/>
          <c:explosion val="25"/>
          <c:dLbls>
            <c:dLbl>
              <c:idx val="1"/>
              <c:layout>
                <c:manualLayout>
                  <c:x val="-0.12718958207147182"/>
                  <c:y val="8.06900004551454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43B-4C59-A5EE-0CA820F8147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'Datos  NCG'!$B$47:$B$52</c:f>
              <c:strCache>
                <c:ptCount val="6"/>
                <c:pt idx="0">
                  <c:v>hogar</c:v>
                </c:pt>
                <c:pt idx="1">
                  <c:v>estudiante</c:v>
                </c:pt>
                <c:pt idx="2">
                  <c:v>empleado</c:v>
                </c:pt>
                <c:pt idx="3">
                  <c:v>desempleado</c:v>
                </c:pt>
                <c:pt idx="4">
                  <c:v>no dato</c:v>
                </c:pt>
                <c:pt idx="5">
                  <c:v>trabaja por su cuenta</c:v>
                </c:pt>
              </c:strCache>
            </c:strRef>
          </c:cat>
          <c:val>
            <c:numRef>
              <c:f>'Datos  NCG'!$C$47:$C$52</c:f>
              <c:numCache>
                <c:formatCode>General</c:formatCode>
                <c:ptCount val="6"/>
                <c:pt idx="0">
                  <c:v>327</c:v>
                </c:pt>
                <c:pt idx="1">
                  <c:v>164</c:v>
                </c:pt>
                <c:pt idx="2">
                  <c:v>71</c:v>
                </c:pt>
                <c:pt idx="3">
                  <c:v>59</c:v>
                </c:pt>
                <c:pt idx="4">
                  <c:v>631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B-4C59-A5EE-0CA820F8147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Ingreso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'Datos  NCG'!$B$57:$B$59</c:f>
              <c:strCache>
                <c:ptCount val="3"/>
                <c:pt idx="0">
                  <c:v>mayor al salario mínimo</c:v>
                </c:pt>
                <c:pt idx="1">
                  <c:v>menor al salario mínimo</c:v>
                </c:pt>
                <c:pt idx="2">
                  <c:v>igual al salario mínimo</c:v>
                </c:pt>
              </c:strCache>
            </c:strRef>
          </c:cat>
          <c:val>
            <c:numRef>
              <c:f>'Datos  NCG'!$C$57:$C$59</c:f>
              <c:numCache>
                <c:formatCode>General</c:formatCode>
                <c:ptCount val="3"/>
                <c:pt idx="0">
                  <c:v>40</c:v>
                </c:pt>
                <c:pt idx="1">
                  <c:v>225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C-40F9-AEF7-E3E14BF02E7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Piso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NCG'!$B$97:$B$101</c:f>
              <c:strCache>
                <c:ptCount val="5"/>
                <c:pt idx="0">
                  <c:v>Piso</c:v>
                </c:pt>
                <c:pt idx="1">
                  <c:v>Cemento</c:v>
                </c:pt>
                <c:pt idx="2">
                  <c:v>Madera</c:v>
                </c:pt>
                <c:pt idx="3">
                  <c:v>Tierra</c:v>
                </c:pt>
                <c:pt idx="4">
                  <c:v>Piedra</c:v>
                </c:pt>
              </c:strCache>
            </c:strRef>
          </c:cat>
          <c:val>
            <c:numRef>
              <c:f>'Datos  NCG'!$C$97:$C$101</c:f>
              <c:numCache>
                <c:formatCode>General</c:formatCode>
                <c:ptCount val="5"/>
                <c:pt idx="1">
                  <c:v>111</c:v>
                </c:pt>
                <c:pt idx="2">
                  <c:v>7</c:v>
                </c:pt>
                <c:pt idx="3">
                  <c:v>250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B-4074-B579-CDA0B06616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0629888"/>
        <c:axId val="100648064"/>
      </c:barChart>
      <c:catAx>
        <c:axId val="100629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648064"/>
        <c:crosses val="autoZero"/>
        <c:auto val="1"/>
        <c:lblAlgn val="ctr"/>
        <c:lblOffset val="100"/>
        <c:noMultiLvlLbl val="0"/>
      </c:catAx>
      <c:valAx>
        <c:axId val="100648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0062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Techo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NCG'!$B$104:$B$113</c:f>
              <c:strCache>
                <c:ptCount val="10"/>
                <c:pt idx="0">
                  <c:v>Derechohabiencia</c:v>
                </c:pt>
                <c:pt idx="1">
                  <c:v>INSABI</c:v>
                </c:pt>
                <c:pt idx="2">
                  <c:v>IMSS</c:v>
                </c:pt>
                <c:pt idx="3">
                  <c:v>ISSSTE</c:v>
                </c:pt>
                <c:pt idx="4">
                  <c:v>PEMEX</c:v>
                </c:pt>
                <c:pt idx="5">
                  <c:v>SEDENA</c:v>
                </c:pt>
                <c:pt idx="6">
                  <c:v>OTRO</c:v>
                </c:pt>
                <c:pt idx="8">
                  <c:v>Habitaciones por vivienda</c:v>
                </c:pt>
                <c:pt idx="9">
                  <c:v>1</c:v>
                </c:pt>
              </c:strCache>
            </c:strRef>
          </c:cat>
          <c:val>
            <c:numRef>
              <c:f>'Datos  NCG'!$C$104:$C$113</c:f>
              <c:numCache>
                <c:formatCode>General</c:formatCode>
                <c:ptCount val="10"/>
                <c:pt idx="1">
                  <c:v>192</c:v>
                </c:pt>
                <c:pt idx="2">
                  <c:v>33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54</c:v>
                </c:pt>
                <c:pt idx="9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6-4B07-AFD4-374152809E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0693504"/>
        <c:axId val="100695040"/>
      </c:barChart>
      <c:catAx>
        <c:axId val="100693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695040"/>
        <c:crosses val="autoZero"/>
        <c:auto val="1"/>
        <c:lblAlgn val="ctr"/>
        <c:lblOffset val="100"/>
        <c:noMultiLvlLbl val="0"/>
      </c:catAx>
      <c:valAx>
        <c:axId val="100695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00693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Muros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NCG'!$B$118:$B$123</c:f>
              <c:strCache>
                <c:ptCount val="6"/>
                <c:pt idx="2">
                  <c:v>Agua de uso</c:v>
                </c:pt>
                <c:pt idx="3">
                  <c:v>Potable</c:v>
                </c:pt>
                <c:pt idx="4">
                  <c:v>Noria/pozo</c:v>
                </c:pt>
                <c:pt idx="5">
                  <c:v>Río</c:v>
                </c:pt>
              </c:strCache>
            </c:strRef>
          </c:cat>
          <c:val>
            <c:numRef>
              <c:f>'Datos  NCG'!$C$118:$C$123</c:f>
              <c:numCache>
                <c:formatCode>General</c:formatCode>
                <c:ptCount val="6"/>
                <c:pt idx="0">
                  <c:v>396</c:v>
                </c:pt>
                <c:pt idx="3">
                  <c:v>70</c:v>
                </c:pt>
                <c:pt idx="4">
                  <c:v>272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B-4B5B-B5A4-5D01B5A85B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0703616"/>
        <c:axId val="100734080"/>
      </c:barChart>
      <c:catAx>
        <c:axId val="10070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734080"/>
        <c:crosses val="autoZero"/>
        <c:auto val="1"/>
        <c:lblAlgn val="ctr"/>
        <c:lblOffset val="100"/>
        <c:noMultiLvlLbl val="0"/>
      </c:catAx>
      <c:valAx>
        <c:axId val="100734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00703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Obtiene agua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  <a:r>
                      <a:rPr lang="en-US" baseline="0"/>
                      <a:t> dato </a:t>
                    </a:r>
                    <a:r>
                      <a:rPr lang="en-US"/>
                      <a:t>
26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2E-444C-9AC9-39DFDFE6881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NCG'!$B$133:$B$134</c:f>
              <c:strCache>
                <c:ptCount val="2"/>
                <c:pt idx="0">
                  <c:v>Filtrada</c:v>
                </c:pt>
                <c:pt idx="1">
                  <c:v>No dato</c:v>
                </c:pt>
              </c:strCache>
            </c:strRef>
          </c:cat>
          <c:val>
            <c:numRef>
              <c:f>'Datos  NCG'!$C$133:$C$134</c:f>
              <c:numCache>
                <c:formatCode>General</c:formatCode>
                <c:ptCount val="2"/>
                <c:pt idx="0">
                  <c:v>7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E-444C-9AC9-39DFDFE688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0753408"/>
        <c:axId val="100756096"/>
      </c:barChart>
      <c:catAx>
        <c:axId val="100753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756096"/>
        <c:crosses val="autoZero"/>
        <c:auto val="1"/>
        <c:lblAlgn val="ctr"/>
        <c:lblOffset val="100"/>
        <c:noMultiLvlLbl val="0"/>
      </c:catAx>
      <c:valAx>
        <c:axId val="100756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00753408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Drenaje</a:t>
            </a:r>
          </a:p>
        </c:rich>
      </c:tx>
      <c:layout>
        <c:manualLayout>
          <c:xMode val="edge"/>
          <c:yMode val="edge"/>
          <c:x val="4.8222222222222222E-2"/>
          <c:y val="4.6296296296296523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7.0977690288714134E-3"/>
                  <c:y val="-0.208374890638670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7DD-43C5-A41F-0B8E194500FA}"/>
                </c:ext>
              </c:extLst>
            </c:dLbl>
            <c:dLbl>
              <c:idx val="1"/>
              <c:layout>
                <c:manualLayout>
                  <c:x val="-0.12244510061242346"/>
                  <c:y val="-2.72451881014873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7DD-43C5-A41F-0B8E194500FA}"/>
                </c:ext>
              </c:extLst>
            </c:dLbl>
            <c:dLbl>
              <c:idx val="2"/>
              <c:layout>
                <c:manualLayout>
                  <c:x val="0.14077909011373579"/>
                  <c:y val="-5.27409594634004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DD-43C5-A41F-0B8E194500FA}"/>
                </c:ext>
              </c:extLst>
            </c:dLbl>
            <c:dLbl>
              <c:idx val="3"/>
              <c:layout>
                <c:manualLayout>
                  <c:x val="0.10834405074365756"/>
                  <c:y val="1.26753426655001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DD-43C5-A41F-0B8E194500FA}"/>
                </c:ext>
              </c:extLst>
            </c:dLbl>
            <c:dLbl>
              <c:idx val="4"/>
              <c:layout>
                <c:manualLayout>
                  <c:x val="0.14376323272091127"/>
                  <c:y val="-2.91987459900845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DD-43C5-A41F-0B8E194500FA}"/>
                </c:ext>
              </c:extLst>
            </c:dLbl>
            <c:dLbl>
              <c:idx val="5"/>
              <c:layout>
                <c:manualLayout>
                  <c:x val="0.10541054243219602"/>
                  <c:y val="4.5475721784776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DD-43C5-A41F-0B8E194500FA}"/>
                </c:ext>
              </c:extLst>
            </c:dLbl>
            <c:dLbl>
              <c:idx val="6"/>
              <c:layout>
                <c:manualLayout>
                  <c:x val="0.25752132545931761"/>
                  <c:y val="-0.226112933799941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DD-43C5-A41F-0B8E194500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'Datos  NCG'!$B$139:$B$140</c:f>
              <c:strCache>
                <c:ptCount val="2"/>
                <c:pt idx="0">
                  <c:v>Al ras del suelo</c:v>
                </c:pt>
                <c:pt idx="1">
                  <c:v>No dato</c:v>
                </c:pt>
              </c:strCache>
            </c:strRef>
          </c:cat>
          <c:val>
            <c:numRef>
              <c:f>'Datos  NCG'!$C$139:$C$140</c:f>
              <c:numCache>
                <c:formatCode>General</c:formatCode>
                <c:ptCount val="2"/>
                <c:pt idx="0">
                  <c:v>67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DD-43C5-A41F-0B8E194500F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Combustible  para cocinar</a:t>
            </a:r>
          </a:p>
        </c:rich>
      </c:tx>
      <c:layout>
        <c:manualLayout>
          <c:xMode val="edge"/>
          <c:yMode val="edge"/>
          <c:x val="0.2591711410845125"/>
          <c:y val="2.7777777777777912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0F9-4CF5-AE15-809C67A60812}"/>
              </c:ext>
            </c:extLst>
          </c:dPt>
          <c:dLbls>
            <c:dLbl>
              <c:idx val="1"/>
              <c:layout>
                <c:manualLayout>
                  <c:x val="-0.10298924700226"/>
                  <c:y val="2.56383056284632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0F9-4CF5-AE15-809C67A60812}"/>
                </c:ext>
              </c:extLst>
            </c:dLbl>
            <c:dLbl>
              <c:idx val="2"/>
              <c:layout>
                <c:manualLayout>
                  <c:x val="3.232866458420304E-2"/>
                  <c:y val="-9.208223972003498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0F9-4CF5-AE15-809C67A60812}"/>
                </c:ext>
              </c:extLst>
            </c:dLbl>
            <c:dLbl>
              <c:idx val="3"/>
              <c:layout>
                <c:manualLayout>
                  <c:x val="0.35960596333136757"/>
                  <c:y val="-1.08628608923885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0F9-4CF5-AE15-809C67A608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'Datos  NCG'!$B$151:$B$156</c:f>
              <c:strCache>
                <c:ptCount val="5"/>
                <c:pt idx="0">
                  <c:v>Red municipal</c:v>
                </c:pt>
                <c:pt idx="1">
                  <c:v>Enterramiento</c:v>
                </c:pt>
                <c:pt idx="2">
                  <c:v>Cielo abierto</c:v>
                </c:pt>
                <c:pt idx="3">
                  <c:v>Incineración</c:v>
                </c:pt>
                <c:pt idx="4">
                  <c:v>No dato</c:v>
                </c:pt>
              </c:strCache>
            </c:strRef>
          </c:cat>
          <c:val>
            <c:numRef>
              <c:f>'Datos  NCG'!$C$151:$C$156</c:f>
              <c:numCache>
                <c:formatCode>General</c:formatCode>
                <c:ptCount val="6"/>
                <c:pt idx="0">
                  <c:v>50</c:v>
                </c:pt>
                <c:pt idx="1">
                  <c:v>82</c:v>
                </c:pt>
                <c:pt idx="2">
                  <c:v>39</c:v>
                </c:pt>
                <c:pt idx="3">
                  <c:v>176</c:v>
                </c:pt>
                <c:pt idx="4">
                  <c:v>49</c:v>
                </c:pt>
                <c:pt idx="5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9-4CF5-AE15-809C67A6081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Equipamiento del hogar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NCG'!$B$159:$B$168</c:f>
              <c:strCache>
                <c:ptCount val="6"/>
                <c:pt idx="0">
                  <c:v>Alumbrado</c:v>
                </c:pt>
                <c:pt idx="1">
                  <c:v>Red eléctrica</c:v>
                </c:pt>
                <c:pt idx="2">
                  <c:v>Velas</c:v>
                </c:pt>
                <c:pt idx="3">
                  <c:v>Quinque</c:v>
                </c:pt>
                <c:pt idx="4">
                  <c:v>Planta solar</c:v>
                </c:pt>
                <c:pt idx="5">
                  <c:v>No dato</c:v>
                </c:pt>
              </c:strCache>
            </c:strRef>
          </c:cat>
          <c:val>
            <c:numRef>
              <c:f>'Datos  NCG'!$C$159:$C$168</c:f>
              <c:numCache>
                <c:formatCode>General</c:formatCode>
                <c:ptCount val="10"/>
                <c:pt idx="1">
                  <c:v>93</c:v>
                </c:pt>
                <c:pt idx="2">
                  <c:v>170</c:v>
                </c:pt>
                <c:pt idx="3">
                  <c:v>2</c:v>
                </c:pt>
                <c:pt idx="4">
                  <c:v>90</c:v>
                </c:pt>
                <c:pt idx="5">
                  <c:v>41</c:v>
                </c:pt>
                <c:pt idx="6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0-4CCD-BA81-23B3E953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983168"/>
        <c:axId val="100985088"/>
      </c:barChart>
      <c:catAx>
        <c:axId val="10098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Equipo</a:t>
                </a:r>
              </a:p>
            </c:rich>
          </c:tx>
          <c:layout>
            <c:manualLayout>
              <c:xMode val="edge"/>
              <c:yMode val="edge"/>
              <c:x val="0.3780535125417015"/>
              <c:y val="0.9105778829669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985088"/>
        <c:crosses val="autoZero"/>
        <c:auto val="1"/>
        <c:lblAlgn val="ctr"/>
        <c:lblOffset val="100"/>
        <c:noMultiLvlLbl val="0"/>
      </c:catAx>
      <c:valAx>
        <c:axId val="100985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Familias</a:t>
                </a:r>
                <a:r>
                  <a:rPr lang="en-US" baseline="0"/>
                  <a:t> que lo tienen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0983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propiedad de la vivienda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'Datos  NCG'!$B$171:$B$178</c:f>
              <c:strCache>
                <c:ptCount val="8"/>
                <c:pt idx="1">
                  <c:v>MASCOTAS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strCache>
            </c:strRef>
          </c:cat>
          <c:val>
            <c:numRef>
              <c:f>'Datos  NCG'!$C$171:$C$178</c:f>
              <c:numCache>
                <c:formatCode>General</c:formatCode>
                <c:ptCount val="8"/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29</c:v>
                </c:pt>
                <c:pt idx="5">
                  <c:v>100</c:v>
                </c:pt>
                <c:pt idx="6">
                  <c:v>121</c:v>
                </c:pt>
                <c:pt idx="7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1-4DC3-9B11-1ECDF6E5CC3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Ingresos mensuales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C07-4C3C-A73C-D610CFAA5E0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C07-4C3C-A73C-D610CFAA5E0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'Datos  NCG'!$B$180:$B$184</c:f>
              <c:numCache>
                <c:formatCode>"$"#,##0</c:formatCode>
                <c:ptCount val="5"/>
              </c:numCache>
            </c:numRef>
          </c:cat>
          <c:val>
            <c:numRef>
              <c:f>'Datos  NCG'!$C$180:$C$184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3C07-4C3C-A73C-D610CFAA5E0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cuartos</a:t>
            </a:r>
            <a:r>
              <a:rPr lang="es-MX" baseline="0"/>
              <a:t> por vivienda</a:t>
            </a:r>
            <a:endParaRPr lang="es-MX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'Datos  NCG'!$B$203:$B$209</c:f>
              <c:numCache>
                <c:formatCode>"$"#,##0</c:formatCode>
                <c:ptCount val="7"/>
              </c:numCache>
            </c:numRef>
          </c:cat>
          <c:val>
            <c:numRef>
              <c:f>'Datos  NCG'!$C$203:$C$209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0C48-4700-BDA2-9577FB720F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cylinder"/>
        <c:axId val="117117312"/>
        <c:axId val="117118848"/>
        <c:axId val="0"/>
      </c:bar3DChart>
      <c:catAx>
        <c:axId val="117117312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crossAx val="117118848"/>
        <c:crosses val="autoZero"/>
        <c:auto val="1"/>
        <c:lblAlgn val="ctr"/>
        <c:lblOffset val="100"/>
        <c:noMultiLvlLbl val="0"/>
      </c:catAx>
      <c:valAx>
        <c:axId val="117118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1711731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cuartos para dormir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'Datos  NCG'!$B$213:$B$218</c:f>
              <c:numCache>
                <c:formatCode>"$"#,##0</c:formatCode>
                <c:ptCount val="6"/>
              </c:numCache>
            </c:numRef>
          </c:cat>
          <c:val>
            <c:numRef>
              <c:f>'Datos  NCG'!$C$213:$C$218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3CD-40CF-924F-0B32A3FDC2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cylinder"/>
        <c:axId val="117144576"/>
        <c:axId val="117146368"/>
        <c:axId val="0"/>
      </c:bar3DChart>
      <c:catAx>
        <c:axId val="117144576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crossAx val="117146368"/>
        <c:crosses val="autoZero"/>
        <c:auto val="1"/>
        <c:lblAlgn val="ctr"/>
        <c:lblOffset val="100"/>
        <c:noMultiLvlLbl val="0"/>
      </c:catAx>
      <c:valAx>
        <c:axId val="117146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1714457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baño exclusivo del hogar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'Datos  NCG'!$E$129:$E$130</c:f>
              <c:numCache>
                <c:formatCode>General</c:formatCode>
                <c:ptCount val="2"/>
              </c:numCache>
            </c:numRef>
          </c:cat>
          <c:val>
            <c:numRef>
              <c:f>'Datos  NCG'!$F$129:$F$130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1DFC-4CC6-B4A6-0E35A9BE956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energía</a:t>
            </a:r>
            <a:r>
              <a:rPr lang="es-MX" baseline="0"/>
              <a:t> eléctrica</a:t>
            </a:r>
            <a:endParaRPr lang="es-MX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BC7-4E0D-9FC9-2AF75460B91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'Datos  NCG'!$B$143:$B$143</c:f>
              <c:strCache>
                <c:ptCount val="1"/>
                <c:pt idx="0">
                  <c:v>Combustible</c:v>
                </c:pt>
              </c:strCache>
            </c:strRef>
          </c:cat>
          <c:val>
            <c:numRef>
              <c:f>'Datos  NCG'!$C$143:$C$143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3BC7-4E0D-9FC9-2AF75460B91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apoyos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'Datos  NCG'!$B$187:$B$195</c:f>
              <c:numCache>
                <c:formatCode>"$"#,##0</c:formatCode>
                <c:ptCount val="9"/>
              </c:numCache>
            </c:numRef>
          </c:cat>
          <c:val>
            <c:numRef>
              <c:f>'Datos  NCG'!$C$187:$C$195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A92C-43F4-9909-62E82F8133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17296512"/>
        <c:axId val="117302400"/>
        <c:axId val="0"/>
      </c:bar3DChart>
      <c:catAx>
        <c:axId val="117296512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crossAx val="117302400"/>
        <c:crosses val="autoZero"/>
        <c:auto val="1"/>
        <c:lblAlgn val="ctr"/>
        <c:lblOffset val="100"/>
        <c:noMultiLvlLbl val="0"/>
      </c:catAx>
      <c:valAx>
        <c:axId val="117302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11729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cohesión social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'Datos  NCG'!$B$198:$B$199</c:f>
              <c:numCache>
                <c:formatCode>"$"#,##0</c:formatCode>
                <c:ptCount val="2"/>
              </c:numCache>
            </c:numRef>
          </c:cat>
          <c:val>
            <c:numRef>
              <c:f>'Datos  NCG'!$C$198:$C$199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C129-484F-9FD8-C11F0AB988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7405184"/>
        <c:axId val="117406720"/>
      </c:barChart>
      <c:catAx>
        <c:axId val="117405184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crossAx val="117406720"/>
        <c:crosses val="autoZero"/>
        <c:auto val="1"/>
        <c:lblAlgn val="ctr"/>
        <c:lblOffset val="100"/>
        <c:noMultiLvlLbl val="0"/>
      </c:catAx>
      <c:valAx>
        <c:axId val="1174067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17405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tipo de baño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1111111111111123E-2"/>
          <c:y val="6.0069626713327523E-2"/>
          <c:w val="0.93888888888889077"/>
          <c:h val="0.6331867891513536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'Datos  NCG'!$B$126:$B$130</c:f>
              <c:strCache>
                <c:ptCount val="5"/>
                <c:pt idx="2">
                  <c:v>Agua consumo</c:v>
                </c:pt>
                <c:pt idx="3">
                  <c:v>Potable</c:v>
                </c:pt>
                <c:pt idx="4">
                  <c:v>Purificada</c:v>
                </c:pt>
              </c:strCache>
            </c:strRef>
          </c:cat>
          <c:val>
            <c:numRef>
              <c:f>'Datos  NCG'!$C$126:$C$130</c:f>
              <c:numCache>
                <c:formatCode>General</c:formatCode>
                <c:ptCount val="5"/>
                <c:pt idx="0">
                  <c:v>396</c:v>
                </c:pt>
                <c:pt idx="3">
                  <c:v>151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D-4181-AC8B-57F3FBEE91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7443968"/>
        <c:axId val="117449856"/>
      </c:barChart>
      <c:catAx>
        <c:axId val="11744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7449856"/>
        <c:crosses val="autoZero"/>
        <c:auto val="1"/>
        <c:lblAlgn val="ctr"/>
        <c:lblOffset val="100"/>
        <c:noMultiLvlLbl val="0"/>
      </c:catAx>
      <c:valAx>
        <c:axId val="117449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1744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4.xml"/><Relationship Id="rId18" Type="http://schemas.openxmlformats.org/officeDocument/2006/relationships/chart" Target="../charts/chart39.xml"/><Relationship Id="rId3" Type="http://schemas.openxmlformats.org/officeDocument/2006/relationships/chart" Target="../charts/chart24.xml"/><Relationship Id="rId21" Type="http://schemas.openxmlformats.org/officeDocument/2006/relationships/chart" Target="../charts/chart42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20" Type="http://schemas.openxmlformats.org/officeDocument/2006/relationships/chart" Target="../charts/chart41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10" Type="http://schemas.openxmlformats.org/officeDocument/2006/relationships/chart" Target="../charts/chart31.xml"/><Relationship Id="rId19" Type="http://schemas.openxmlformats.org/officeDocument/2006/relationships/chart" Target="../charts/chart40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231</xdr:row>
      <xdr:rowOff>104775</xdr:rowOff>
    </xdr:from>
    <xdr:to>
      <xdr:col>16</xdr:col>
      <xdr:colOff>285750</xdr:colOff>
      <xdr:row>246</xdr:row>
      <xdr:rowOff>180975</xdr:rowOff>
    </xdr:to>
    <xdr:graphicFrame macro="">
      <xdr:nvGraphicFramePr>
        <xdr:cNvPr id="12" name="1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704850</xdr:colOff>
      <xdr:row>249</xdr:row>
      <xdr:rowOff>19050</xdr:rowOff>
    </xdr:from>
    <xdr:to>
      <xdr:col>16</xdr:col>
      <xdr:colOff>704850</xdr:colOff>
      <xdr:row>263</xdr:row>
      <xdr:rowOff>95250</xdr:rowOff>
    </xdr:to>
    <xdr:graphicFrame macro="">
      <xdr:nvGraphicFramePr>
        <xdr:cNvPr id="15" name="1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712304</xdr:colOff>
      <xdr:row>0</xdr:row>
      <xdr:rowOff>0</xdr:rowOff>
    </xdr:from>
    <xdr:to>
      <xdr:col>9</xdr:col>
      <xdr:colOff>629478</xdr:colOff>
      <xdr:row>8</xdr:row>
      <xdr:rowOff>182216</xdr:rowOff>
    </xdr:to>
    <xdr:graphicFrame macro="">
      <xdr:nvGraphicFramePr>
        <xdr:cNvPr id="17" name="1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480390</xdr:colOff>
      <xdr:row>62</xdr:row>
      <xdr:rowOff>8283</xdr:rowOff>
    </xdr:from>
    <xdr:to>
      <xdr:col>9</xdr:col>
      <xdr:colOff>463825</xdr:colOff>
      <xdr:row>76</xdr:row>
      <xdr:rowOff>74543</xdr:rowOff>
    </xdr:to>
    <xdr:graphicFrame macro="">
      <xdr:nvGraphicFramePr>
        <xdr:cNvPr id="18" name="1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662609</xdr:colOff>
      <xdr:row>76</xdr:row>
      <xdr:rowOff>0</xdr:rowOff>
    </xdr:from>
    <xdr:to>
      <xdr:col>12</xdr:col>
      <xdr:colOff>289891</xdr:colOff>
      <xdr:row>87</xdr:row>
      <xdr:rowOff>0</xdr:rowOff>
    </xdr:to>
    <xdr:graphicFrame macro="">
      <xdr:nvGraphicFramePr>
        <xdr:cNvPr id="19" name="1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612913</xdr:colOff>
      <xdr:row>86</xdr:row>
      <xdr:rowOff>149087</xdr:rowOff>
    </xdr:from>
    <xdr:to>
      <xdr:col>12</xdr:col>
      <xdr:colOff>289892</xdr:colOff>
      <xdr:row>96</xdr:row>
      <xdr:rowOff>124239</xdr:rowOff>
    </xdr:to>
    <xdr:graphicFrame macro="">
      <xdr:nvGraphicFramePr>
        <xdr:cNvPr id="20" name="1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95</xdr:row>
      <xdr:rowOff>0</xdr:rowOff>
    </xdr:from>
    <xdr:to>
      <xdr:col>9</xdr:col>
      <xdr:colOff>8282</xdr:colOff>
      <xdr:row>103</xdr:row>
      <xdr:rowOff>33132</xdr:rowOff>
    </xdr:to>
    <xdr:graphicFrame macro="">
      <xdr:nvGraphicFramePr>
        <xdr:cNvPr id="21" name="2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728869</xdr:colOff>
      <xdr:row>95</xdr:row>
      <xdr:rowOff>149085</xdr:rowOff>
    </xdr:from>
    <xdr:to>
      <xdr:col>13</xdr:col>
      <xdr:colOff>397564</xdr:colOff>
      <xdr:row>107</xdr:row>
      <xdr:rowOff>157367</xdr:rowOff>
    </xdr:to>
    <xdr:graphicFrame macro="">
      <xdr:nvGraphicFramePr>
        <xdr:cNvPr id="22" name="2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463826</xdr:colOff>
      <xdr:row>103</xdr:row>
      <xdr:rowOff>124239</xdr:rowOff>
    </xdr:from>
    <xdr:to>
      <xdr:col>9</xdr:col>
      <xdr:colOff>49695</xdr:colOff>
      <xdr:row>118</xdr:row>
      <xdr:rowOff>182216</xdr:rowOff>
    </xdr:to>
    <xdr:graphicFrame macro="">
      <xdr:nvGraphicFramePr>
        <xdr:cNvPr id="23" name="2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397566</xdr:colOff>
      <xdr:row>117</xdr:row>
      <xdr:rowOff>0</xdr:rowOff>
    </xdr:from>
    <xdr:to>
      <xdr:col>13</xdr:col>
      <xdr:colOff>8283</xdr:colOff>
      <xdr:row>128</xdr:row>
      <xdr:rowOff>33130</xdr:rowOff>
    </xdr:to>
    <xdr:graphicFrame macro="">
      <xdr:nvGraphicFramePr>
        <xdr:cNvPr id="24" name="2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24847</xdr:colOff>
      <xdr:row>126</xdr:row>
      <xdr:rowOff>66262</xdr:rowOff>
    </xdr:from>
    <xdr:to>
      <xdr:col>10</xdr:col>
      <xdr:colOff>41413</xdr:colOff>
      <xdr:row>136</xdr:row>
      <xdr:rowOff>49696</xdr:rowOff>
    </xdr:to>
    <xdr:graphicFrame macro="">
      <xdr:nvGraphicFramePr>
        <xdr:cNvPr id="25" name="2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57978</xdr:colOff>
      <xdr:row>134</xdr:row>
      <xdr:rowOff>0</xdr:rowOff>
    </xdr:from>
    <xdr:to>
      <xdr:col>13</xdr:col>
      <xdr:colOff>422412</xdr:colOff>
      <xdr:row>141</xdr:row>
      <xdr:rowOff>140804</xdr:rowOff>
    </xdr:to>
    <xdr:graphicFrame macro="">
      <xdr:nvGraphicFramePr>
        <xdr:cNvPr id="26" name="2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530087</xdr:colOff>
      <xdr:row>139</xdr:row>
      <xdr:rowOff>115957</xdr:rowOff>
    </xdr:from>
    <xdr:to>
      <xdr:col>9</xdr:col>
      <xdr:colOff>505239</xdr:colOff>
      <xdr:row>149</xdr:row>
      <xdr:rowOff>57979</xdr:rowOff>
    </xdr:to>
    <xdr:graphicFrame macro="">
      <xdr:nvGraphicFramePr>
        <xdr:cNvPr id="27" name="2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149087</xdr:colOff>
      <xdr:row>143</xdr:row>
      <xdr:rowOff>66261</xdr:rowOff>
    </xdr:from>
    <xdr:to>
      <xdr:col>12</xdr:col>
      <xdr:colOff>480391</xdr:colOff>
      <xdr:row>159</xdr:row>
      <xdr:rowOff>33130</xdr:rowOff>
    </xdr:to>
    <xdr:graphicFrame macro="">
      <xdr:nvGraphicFramePr>
        <xdr:cNvPr id="28" name="2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646044</xdr:colOff>
      <xdr:row>155</xdr:row>
      <xdr:rowOff>8284</xdr:rowOff>
    </xdr:from>
    <xdr:to>
      <xdr:col>9</xdr:col>
      <xdr:colOff>231913</xdr:colOff>
      <xdr:row>166</xdr:row>
      <xdr:rowOff>91110</xdr:rowOff>
    </xdr:to>
    <xdr:graphicFrame macro="">
      <xdr:nvGraphicFramePr>
        <xdr:cNvPr id="29" name="2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306456</xdr:colOff>
      <xdr:row>44</xdr:row>
      <xdr:rowOff>8283</xdr:rowOff>
    </xdr:from>
    <xdr:to>
      <xdr:col>10</xdr:col>
      <xdr:colOff>306456</xdr:colOff>
      <xdr:row>62</xdr:row>
      <xdr:rowOff>82826</xdr:rowOff>
    </xdr:to>
    <xdr:graphicFrame macro="">
      <xdr:nvGraphicFramePr>
        <xdr:cNvPr id="30" name="2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463826</xdr:colOff>
      <xdr:row>23</xdr:row>
      <xdr:rowOff>0</xdr:rowOff>
    </xdr:from>
    <xdr:to>
      <xdr:col>9</xdr:col>
      <xdr:colOff>463826</xdr:colOff>
      <xdr:row>35</xdr:row>
      <xdr:rowOff>66261</xdr:rowOff>
    </xdr:to>
    <xdr:graphicFrame macro="">
      <xdr:nvGraphicFramePr>
        <xdr:cNvPr id="31" name="3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231913</xdr:colOff>
      <xdr:row>170</xdr:row>
      <xdr:rowOff>107673</xdr:rowOff>
    </xdr:from>
    <xdr:to>
      <xdr:col>9</xdr:col>
      <xdr:colOff>496956</xdr:colOff>
      <xdr:row>182</xdr:row>
      <xdr:rowOff>74543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oneCellAnchor>
    <xdr:from>
      <xdr:col>10</xdr:col>
      <xdr:colOff>505239</xdr:colOff>
      <xdr:row>167</xdr:row>
      <xdr:rowOff>33130</xdr:rowOff>
    </xdr:from>
    <xdr:ext cx="184731" cy="264560"/>
    <xdr:sp macro="" textlink="">
      <xdr:nvSpPr>
        <xdr:cNvPr id="4" name="3 CuadroTexto"/>
        <xdr:cNvSpPr txBox="1"/>
      </xdr:nvSpPr>
      <xdr:spPr>
        <a:xfrm>
          <a:off x="7918174" y="316561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5</xdr:col>
      <xdr:colOff>8284</xdr:colOff>
      <xdr:row>9</xdr:row>
      <xdr:rowOff>65433</xdr:rowOff>
    </xdr:from>
    <xdr:to>
      <xdr:col>11</xdr:col>
      <xdr:colOff>8284</xdr:colOff>
      <xdr:row>23</xdr:row>
      <xdr:rowOff>141633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737151</xdr:colOff>
      <xdr:row>0</xdr:row>
      <xdr:rowOff>119270</xdr:rowOff>
    </xdr:from>
    <xdr:to>
      <xdr:col>15</xdr:col>
      <xdr:colOff>737151</xdr:colOff>
      <xdr:row>15</xdr:row>
      <xdr:rowOff>4970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554935</xdr:colOff>
      <xdr:row>54</xdr:row>
      <xdr:rowOff>185530</xdr:rowOff>
    </xdr:from>
    <xdr:to>
      <xdr:col>16</xdr:col>
      <xdr:colOff>554935</xdr:colOff>
      <xdr:row>69</xdr:row>
      <xdr:rowOff>71230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85726</xdr:colOff>
      <xdr:row>1</xdr:row>
      <xdr:rowOff>28575</xdr:rowOff>
    </xdr:from>
    <xdr:to>
      <xdr:col>5</xdr:col>
      <xdr:colOff>41414</xdr:colOff>
      <xdr:row>12</xdr:row>
      <xdr:rowOff>165652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16</xdr:row>
      <xdr:rowOff>85725</xdr:rowOff>
    </xdr:from>
    <xdr:to>
      <xdr:col>7</xdr:col>
      <xdr:colOff>447674</xdr:colOff>
      <xdr:row>30</xdr:row>
      <xdr:rowOff>161925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104775</xdr:colOff>
      <xdr:row>70</xdr:row>
      <xdr:rowOff>152400</xdr:rowOff>
    </xdr:from>
    <xdr:to>
      <xdr:col>7</xdr:col>
      <xdr:colOff>733425</xdr:colOff>
      <xdr:row>88</xdr:row>
      <xdr:rowOff>19050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142875</xdr:colOff>
      <xdr:row>90</xdr:row>
      <xdr:rowOff>19050</xdr:rowOff>
    </xdr:from>
    <xdr:to>
      <xdr:col>8</xdr:col>
      <xdr:colOff>9525</xdr:colOff>
      <xdr:row>107</xdr:row>
      <xdr:rowOff>76200</xdr:rowOff>
    </xdr:to>
    <xdr:graphicFrame macro="">
      <xdr:nvGraphicFramePr>
        <xdr:cNvPr id="9" name="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109</xdr:row>
      <xdr:rowOff>38100</xdr:rowOff>
    </xdr:from>
    <xdr:to>
      <xdr:col>8</xdr:col>
      <xdr:colOff>66675</xdr:colOff>
      <xdr:row>126</xdr:row>
      <xdr:rowOff>95250</xdr:rowOff>
    </xdr:to>
    <xdr:graphicFrame macro="">
      <xdr:nvGraphicFramePr>
        <xdr:cNvPr id="10" name="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333375</xdr:colOff>
      <xdr:row>211</xdr:row>
      <xdr:rowOff>47625</xdr:rowOff>
    </xdr:from>
    <xdr:to>
      <xdr:col>3</xdr:col>
      <xdr:colOff>38100</xdr:colOff>
      <xdr:row>212</xdr:row>
      <xdr:rowOff>123825</xdr:rowOff>
    </xdr:to>
    <xdr:sp macro="" textlink="">
      <xdr:nvSpPr>
        <xdr:cNvPr id="19" name="18 Rectángulo"/>
        <xdr:cNvSpPr/>
      </xdr:nvSpPr>
      <xdr:spPr>
        <a:xfrm>
          <a:off x="1095375" y="40243125"/>
          <a:ext cx="1228725" cy="2667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MX" sz="1200" b="1"/>
            <a:t>145Familias</a:t>
          </a:r>
        </a:p>
      </xdr:txBody>
    </xdr:sp>
    <xdr:clientData/>
  </xdr:twoCellAnchor>
  <xdr:twoCellAnchor>
    <xdr:from>
      <xdr:col>1</xdr:col>
      <xdr:colOff>47625</xdr:colOff>
      <xdr:row>214</xdr:row>
      <xdr:rowOff>152400</xdr:rowOff>
    </xdr:from>
    <xdr:to>
      <xdr:col>7</xdr:col>
      <xdr:colOff>47625</xdr:colOff>
      <xdr:row>229</xdr:row>
      <xdr:rowOff>38100</xdr:rowOff>
    </xdr:to>
    <xdr:graphicFrame macro="">
      <xdr:nvGraphicFramePr>
        <xdr:cNvPr id="20" name="1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133350</xdr:colOff>
      <xdr:row>231</xdr:row>
      <xdr:rowOff>19050</xdr:rowOff>
    </xdr:from>
    <xdr:to>
      <xdr:col>7</xdr:col>
      <xdr:colOff>133350</xdr:colOff>
      <xdr:row>245</xdr:row>
      <xdr:rowOff>95250</xdr:rowOff>
    </xdr:to>
    <xdr:graphicFrame macro="">
      <xdr:nvGraphicFramePr>
        <xdr:cNvPr id="21" name="2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247</xdr:row>
      <xdr:rowOff>0</xdr:rowOff>
    </xdr:from>
    <xdr:to>
      <xdr:col>7</xdr:col>
      <xdr:colOff>0</xdr:colOff>
      <xdr:row>261</xdr:row>
      <xdr:rowOff>76200</xdr:rowOff>
    </xdr:to>
    <xdr:graphicFrame macro="">
      <xdr:nvGraphicFramePr>
        <xdr:cNvPr id="22" name="2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279</xdr:row>
      <xdr:rowOff>0</xdr:rowOff>
    </xdr:from>
    <xdr:to>
      <xdr:col>7</xdr:col>
      <xdr:colOff>0</xdr:colOff>
      <xdr:row>293</xdr:row>
      <xdr:rowOff>76200</xdr:rowOff>
    </xdr:to>
    <xdr:graphicFrame macro="">
      <xdr:nvGraphicFramePr>
        <xdr:cNvPr id="25" name="2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295</xdr:row>
      <xdr:rowOff>0</xdr:rowOff>
    </xdr:from>
    <xdr:to>
      <xdr:col>7</xdr:col>
      <xdr:colOff>0</xdr:colOff>
      <xdr:row>309</xdr:row>
      <xdr:rowOff>76200</xdr:rowOff>
    </xdr:to>
    <xdr:graphicFrame macro="">
      <xdr:nvGraphicFramePr>
        <xdr:cNvPr id="26" name="2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107674</xdr:colOff>
      <xdr:row>311</xdr:row>
      <xdr:rowOff>0</xdr:rowOff>
    </xdr:from>
    <xdr:to>
      <xdr:col>7</xdr:col>
      <xdr:colOff>24848</xdr:colOff>
      <xdr:row>324</xdr:row>
      <xdr:rowOff>132522</xdr:rowOff>
    </xdr:to>
    <xdr:graphicFrame macro="">
      <xdr:nvGraphicFramePr>
        <xdr:cNvPr id="27" name="2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328</xdr:row>
      <xdr:rowOff>0</xdr:rowOff>
    </xdr:from>
    <xdr:to>
      <xdr:col>7</xdr:col>
      <xdr:colOff>628650</xdr:colOff>
      <xdr:row>345</xdr:row>
      <xdr:rowOff>57150</xdr:rowOff>
    </xdr:to>
    <xdr:graphicFrame macro="">
      <xdr:nvGraphicFramePr>
        <xdr:cNvPr id="28" name="2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346</xdr:row>
      <xdr:rowOff>0</xdr:rowOff>
    </xdr:from>
    <xdr:to>
      <xdr:col>7</xdr:col>
      <xdr:colOff>0</xdr:colOff>
      <xdr:row>360</xdr:row>
      <xdr:rowOff>76200</xdr:rowOff>
    </xdr:to>
    <xdr:graphicFrame macro="">
      <xdr:nvGraphicFramePr>
        <xdr:cNvPr id="29" name="2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362</xdr:row>
      <xdr:rowOff>0</xdr:rowOff>
    </xdr:from>
    <xdr:to>
      <xdr:col>7</xdr:col>
      <xdr:colOff>0</xdr:colOff>
      <xdr:row>376</xdr:row>
      <xdr:rowOff>76200</xdr:rowOff>
    </xdr:to>
    <xdr:graphicFrame macro="">
      <xdr:nvGraphicFramePr>
        <xdr:cNvPr id="30" name="2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378</xdr:row>
      <xdr:rowOff>0</xdr:rowOff>
    </xdr:from>
    <xdr:to>
      <xdr:col>7</xdr:col>
      <xdr:colOff>0</xdr:colOff>
      <xdr:row>392</xdr:row>
      <xdr:rowOff>76200</xdr:rowOff>
    </xdr:to>
    <xdr:graphicFrame macro="">
      <xdr:nvGraphicFramePr>
        <xdr:cNvPr id="32" name="3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394</xdr:row>
      <xdr:rowOff>0</xdr:rowOff>
    </xdr:from>
    <xdr:to>
      <xdr:col>7</xdr:col>
      <xdr:colOff>0</xdr:colOff>
      <xdr:row>408</xdr:row>
      <xdr:rowOff>76200</xdr:rowOff>
    </xdr:to>
    <xdr:graphicFrame macro="">
      <xdr:nvGraphicFramePr>
        <xdr:cNvPr id="33" name="3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0</xdr:colOff>
      <xdr:row>280</xdr:row>
      <xdr:rowOff>0</xdr:rowOff>
    </xdr:from>
    <xdr:to>
      <xdr:col>13</xdr:col>
      <xdr:colOff>74543</xdr:colOff>
      <xdr:row>293</xdr:row>
      <xdr:rowOff>132522</xdr:rowOff>
    </xdr:to>
    <xdr:graphicFrame macro="">
      <xdr:nvGraphicFramePr>
        <xdr:cNvPr id="34" name="3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0</xdr:colOff>
      <xdr:row>296</xdr:row>
      <xdr:rowOff>1</xdr:rowOff>
    </xdr:from>
    <xdr:to>
      <xdr:col>13</xdr:col>
      <xdr:colOff>16565</xdr:colOff>
      <xdr:row>309</xdr:row>
      <xdr:rowOff>1</xdr:rowOff>
    </xdr:to>
    <xdr:graphicFrame macro="">
      <xdr:nvGraphicFramePr>
        <xdr:cNvPr id="35" name="3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6</xdr:col>
      <xdr:colOff>281609</xdr:colOff>
      <xdr:row>422</xdr:row>
      <xdr:rowOff>99391</xdr:rowOff>
    </xdr:to>
    <xdr:graphicFrame macro="">
      <xdr:nvGraphicFramePr>
        <xdr:cNvPr id="36" name="3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426</xdr:row>
      <xdr:rowOff>0</xdr:rowOff>
    </xdr:from>
    <xdr:to>
      <xdr:col>6</xdr:col>
      <xdr:colOff>91109</xdr:colOff>
      <xdr:row>440</xdr:row>
      <xdr:rowOff>33130</xdr:rowOff>
    </xdr:to>
    <xdr:graphicFrame macro="">
      <xdr:nvGraphicFramePr>
        <xdr:cNvPr id="37" name="3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262</xdr:row>
      <xdr:rowOff>190499</xdr:rowOff>
    </xdr:from>
    <xdr:to>
      <xdr:col>7</xdr:col>
      <xdr:colOff>0</xdr:colOff>
      <xdr:row>276</xdr:row>
      <xdr:rowOff>91109</xdr:rowOff>
    </xdr:to>
    <xdr:graphicFrame macro="">
      <xdr:nvGraphicFramePr>
        <xdr:cNvPr id="38" name="3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oneCellAnchor>
    <xdr:from>
      <xdr:col>2</xdr:col>
      <xdr:colOff>347846</xdr:colOff>
      <xdr:row>8</xdr:row>
      <xdr:rowOff>49700</xdr:rowOff>
    </xdr:from>
    <xdr:ext cx="399148" cy="264560"/>
    <xdr:sp macro="" textlink="">
      <xdr:nvSpPr>
        <xdr:cNvPr id="2" name="1 CuadroTexto"/>
        <xdr:cNvSpPr txBox="1"/>
      </xdr:nvSpPr>
      <xdr:spPr>
        <a:xfrm>
          <a:off x="1871846" y="15737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498</a:t>
          </a:r>
        </a:p>
      </xdr:txBody>
    </xdr:sp>
    <xdr:clientData/>
  </xdr:oneCellAnchor>
  <xdr:oneCellAnchor>
    <xdr:from>
      <xdr:col>3</xdr:col>
      <xdr:colOff>182218</xdr:colOff>
      <xdr:row>8</xdr:row>
      <xdr:rowOff>33130</xdr:rowOff>
    </xdr:from>
    <xdr:ext cx="399148" cy="264560"/>
    <xdr:sp macro="" textlink="">
      <xdr:nvSpPr>
        <xdr:cNvPr id="4" name="3 CuadroTexto"/>
        <xdr:cNvSpPr txBox="1"/>
      </xdr:nvSpPr>
      <xdr:spPr>
        <a:xfrm>
          <a:off x="2468218" y="155713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480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0.02015</cdr:x>
      <cdr:y>0.86127</cdr:y>
    </cdr:from>
    <cdr:to>
      <cdr:x>0.25641</cdr:x>
      <cdr:y>0.9422</cdr:y>
    </cdr:to>
    <cdr:sp macro="" textlink="">
      <cdr:nvSpPr>
        <cdr:cNvPr id="2" name="18 Rectángulo"/>
        <cdr:cNvSpPr/>
      </cdr:nvSpPr>
      <cdr:spPr>
        <a:xfrm xmlns:a="http://schemas.openxmlformats.org/drawingml/2006/main">
          <a:off x="104775" y="2838450"/>
          <a:ext cx="1228725" cy="266700"/>
        </a:xfrm>
        <a:prstGeom xmlns:a="http://schemas.openxmlformats.org/drawingml/2006/main" prst="rect">
          <a:avLst/>
        </a:prstGeom>
        <a:gradFill xmlns:a="http://schemas.openxmlformats.org/drawingml/2006/main" rotWithShape="1">
          <a:gsLst>
            <a:gs pos="0">
              <a:srgbClr val="9BBB59">
                <a:tint val="50000"/>
                <a:satMod val="300000"/>
              </a:srgbClr>
            </a:gs>
            <a:gs pos="35000">
              <a:srgbClr val="9BBB59">
                <a:tint val="37000"/>
                <a:satMod val="300000"/>
              </a:srgbClr>
            </a:gs>
            <a:gs pos="100000">
              <a:srgbClr val="9BBB59">
                <a:tint val="15000"/>
                <a:satMod val="350000"/>
              </a:srgbClr>
            </a:gs>
          </a:gsLst>
          <a:lin ang="16200000" scaled="1"/>
        </a:gradFill>
        <a:ln xmlns:a="http://schemas.openxmlformats.org/drawingml/2006/main" w="9525" cap="flat" cmpd="sng" algn="ctr">
          <a:solidFill>
            <a:srgbClr val="9BBB59">
              <a:shade val="95000"/>
              <a:satMod val="105000"/>
            </a:srgbClr>
          </a:solidFill>
          <a:prstDash val="solid"/>
        </a:ln>
        <a:effectLst xmlns:a="http://schemas.openxmlformats.org/drawingml/2006/main">
          <a:outerShdw blurRad="40000" dist="20000" dir="5400000" rotWithShape="0">
            <a:srgbClr val="000000">
              <a:alpha val="38000"/>
            </a:srgbClr>
          </a:outerShdw>
        </a:effectLst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s-MX" sz="1200" b="1"/>
            <a:t>405 Familias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9"/>
  <sheetViews>
    <sheetView tabSelected="1" zoomScale="115" zoomScaleNormal="115" workbookViewId="0">
      <selection activeCell="D95" sqref="D95"/>
    </sheetView>
  </sheetViews>
  <sheetFormatPr baseColWidth="10" defaultRowHeight="15" x14ac:dyDescent="0.25"/>
  <cols>
    <col min="2" max="2" width="12" customWidth="1"/>
    <col min="3" max="3" width="7.7109375" customWidth="1"/>
  </cols>
  <sheetData>
    <row r="2" spans="2:4" x14ac:dyDescent="0.25">
      <c r="B2" t="s">
        <v>13</v>
      </c>
    </row>
    <row r="3" spans="2:4" x14ac:dyDescent="0.25">
      <c r="B3" t="s">
        <v>0</v>
      </c>
      <c r="C3">
        <v>640</v>
      </c>
    </row>
    <row r="4" spans="2:4" x14ac:dyDescent="0.25">
      <c r="B4" t="s">
        <v>1</v>
      </c>
      <c r="C4">
        <v>686</v>
      </c>
    </row>
    <row r="5" spans="2:4" x14ac:dyDescent="0.25">
      <c r="B5" t="s">
        <v>2</v>
      </c>
      <c r="C5">
        <v>148</v>
      </c>
    </row>
    <row r="6" spans="2:4" x14ac:dyDescent="0.25">
      <c r="C6">
        <f>SUM(C3:C5)</f>
        <v>1474</v>
      </c>
    </row>
    <row r="8" spans="2:4" x14ac:dyDescent="0.25">
      <c r="C8" t="s">
        <v>0</v>
      </c>
      <c r="D8" t="s">
        <v>1</v>
      </c>
    </row>
    <row r="9" spans="2:4" x14ac:dyDescent="0.25">
      <c r="B9" t="s">
        <v>14</v>
      </c>
      <c r="C9">
        <v>92</v>
      </c>
      <c r="D9">
        <v>84</v>
      </c>
    </row>
    <row r="10" spans="2:4" x14ac:dyDescent="0.25">
      <c r="B10" t="s">
        <v>15</v>
      </c>
      <c r="C10">
        <v>84</v>
      </c>
      <c r="D10">
        <v>73</v>
      </c>
    </row>
    <row r="11" spans="2:4" x14ac:dyDescent="0.25">
      <c r="B11" t="s">
        <v>16</v>
      </c>
      <c r="C11">
        <v>117</v>
      </c>
      <c r="D11">
        <v>116</v>
      </c>
    </row>
    <row r="12" spans="2:4" x14ac:dyDescent="0.25">
      <c r="B12" t="s">
        <v>17</v>
      </c>
      <c r="C12">
        <v>264</v>
      </c>
      <c r="D12">
        <v>315</v>
      </c>
    </row>
    <row r="13" spans="2:4" x14ac:dyDescent="0.25">
      <c r="B13" t="s">
        <v>18</v>
      </c>
      <c r="C13">
        <v>49</v>
      </c>
      <c r="D13">
        <v>51</v>
      </c>
    </row>
    <row r="14" spans="2:4" x14ac:dyDescent="0.25">
      <c r="B14" t="s">
        <v>2</v>
      </c>
      <c r="C14">
        <v>34</v>
      </c>
      <c r="D14">
        <v>47</v>
      </c>
    </row>
    <row r="15" spans="2:4" x14ac:dyDescent="0.25">
      <c r="C15">
        <f>SUM(C9:C14)</f>
        <v>640</v>
      </c>
      <c r="D15">
        <f>SUM(D9:D14)</f>
        <v>686</v>
      </c>
    </row>
    <row r="16" spans="2:4" x14ac:dyDescent="0.25">
      <c r="B16" t="s">
        <v>19</v>
      </c>
    </row>
    <row r="17" spans="2:3" x14ac:dyDescent="0.25">
      <c r="B17" t="s">
        <v>21</v>
      </c>
      <c r="C17">
        <v>91</v>
      </c>
    </row>
    <row r="18" spans="2:3" x14ac:dyDescent="0.25">
      <c r="B18" t="s">
        <v>22</v>
      </c>
      <c r="C18">
        <v>426</v>
      </c>
    </row>
    <row r="19" spans="2:3" x14ac:dyDescent="0.25">
      <c r="B19" t="s">
        <v>20</v>
      </c>
      <c r="C19">
        <v>433</v>
      </c>
    </row>
    <row r="20" spans="2:3" x14ac:dyDescent="0.25">
      <c r="B20" t="s">
        <v>23</v>
      </c>
      <c r="C20">
        <v>5</v>
      </c>
    </row>
    <row r="21" spans="2:3" x14ac:dyDescent="0.25">
      <c r="B21" t="s">
        <v>24</v>
      </c>
      <c r="C21">
        <v>47</v>
      </c>
    </row>
    <row r="22" spans="2:3" x14ac:dyDescent="0.25">
      <c r="B22" t="s">
        <v>25</v>
      </c>
      <c r="C22">
        <v>27</v>
      </c>
    </row>
    <row r="23" spans="2:3" x14ac:dyDescent="0.25">
      <c r="B23" t="s">
        <v>2</v>
      </c>
      <c r="C23">
        <v>445</v>
      </c>
    </row>
    <row r="24" spans="2:3" x14ac:dyDescent="0.25">
      <c r="C24">
        <f>SUM(C17:C23)</f>
        <v>1474</v>
      </c>
    </row>
    <row r="26" spans="2:3" x14ac:dyDescent="0.25">
      <c r="B26" t="s">
        <v>38</v>
      </c>
    </row>
    <row r="27" spans="2:3" x14ac:dyDescent="0.25">
      <c r="B27" t="s">
        <v>41</v>
      </c>
      <c r="C27">
        <v>101</v>
      </c>
    </row>
    <row r="28" spans="2:3" x14ac:dyDescent="0.25">
      <c r="B28" t="s">
        <v>39</v>
      </c>
      <c r="C28">
        <v>52</v>
      </c>
    </row>
    <row r="29" spans="2:3" x14ac:dyDescent="0.25">
      <c r="B29" t="s">
        <v>40</v>
      </c>
      <c r="C29">
        <v>32</v>
      </c>
    </row>
    <row r="30" spans="2:3" x14ac:dyDescent="0.25">
      <c r="B30" t="s">
        <v>42</v>
      </c>
      <c r="C30">
        <v>2</v>
      </c>
    </row>
    <row r="31" spans="2:3" x14ac:dyDescent="0.25">
      <c r="B31" t="s">
        <v>43</v>
      </c>
      <c r="C31">
        <v>22</v>
      </c>
    </row>
    <row r="32" spans="2:3" x14ac:dyDescent="0.25">
      <c r="B32" t="s">
        <v>44</v>
      </c>
      <c r="C32">
        <v>13</v>
      </c>
    </row>
    <row r="33" spans="2:3" x14ac:dyDescent="0.25">
      <c r="B33" t="s">
        <v>45</v>
      </c>
      <c r="C33">
        <v>3</v>
      </c>
    </row>
    <row r="36" spans="2:3" x14ac:dyDescent="0.25">
      <c r="B36" t="s">
        <v>10</v>
      </c>
    </row>
    <row r="37" spans="2:3" x14ac:dyDescent="0.25">
      <c r="B37" t="s">
        <v>11</v>
      </c>
      <c r="C37">
        <v>457</v>
      </c>
    </row>
    <row r="38" spans="2:3" x14ac:dyDescent="0.25">
      <c r="B38" t="s">
        <v>27</v>
      </c>
      <c r="C38">
        <v>217</v>
      </c>
    </row>
    <row r="39" spans="2:3" x14ac:dyDescent="0.25">
      <c r="B39" t="s">
        <v>26</v>
      </c>
      <c r="C39">
        <v>67</v>
      </c>
    </row>
    <row r="40" spans="2:3" x14ac:dyDescent="0.25">
      <c r="B40" t="s">
        <v>3</v>
      </c>
      <c r="C40">
        <v>436</v>
      </c>
    </row>
    <row r="41" spans="2:3" x14ac:dyDescent="0.25">
      <c r="B41" t="s">
        <v>4</v>
      </c>
      <c r="C41">
        <v>155</v>
      </c>
    </row>
    <row r="42" spans="2:3" x14ac:dyDescent="0.25">
      <c r="B42" t="s">
        <v>5</v>
      </c>
      <c r="C42">
        <v>72</v>
      </c>
    </row>
    <row r="43" spans="2:3" x14ac:dyDescent="0.25">
      <c r="B43" t="s">
        <v>6</v>
      </c>
      <c r="C43">
        <v>8</v>
      </c>
    </row>
    <row r="44" spans="2:3" x14ac:dyDescent="0.25">
      <c r="B44" t="s">
        <v>8</v>
      </c>
      <c r="C44">
        <v>62</v>
      </c>
    </row>
    <row r="45" spans="2:3" x14ac:dyDescent="0.25">
      <c r="C45">
        <f>SUM(C37:C44)</f>
        <v>1474</v>
      </c>
    </row>
    <row r="46" spans="2:3" x14ac:dyDescent="0.25">
      <c r="B46" t="s">
        <v>32</v>
      </c>
    </row>
    <row r="47" spans="2:3" x14ac:dyDescent="0.25">
      <c r="B47" t="s">
        <v>28</v>
      </c>
      <c r="C47">
        <v>327</v>
      </c>
    </row>
    <row r="48" spans="2:3" x14ac:dyDescent="0.25">
      <c r="B48" t="s">
        <v>29</v>
      </c>
      <c r="C48">
        <v>164</v>
      </c>
    </row>
    <row r="49" spans="2:3" x14ac:dyDescent="0.25">
      <c r="B49" t="s">
        <v>30</v>
      </c>
      <c r="C49">
        <v>71</v>
      </c>
    </row>
    <row r="50" spans="2:3" x14ac:dyDescent="0.25">
      <c r="B50" t="s">
        <v>31</v>
      </c>
      <c r="C50">
        <v>59</v>
      </c>
    </row>
    <row r="51" spans="2:3" x14ac:dyDescent="0.25">
      <c r="B51" t="s">
        <v>8</v>
      </c>
      <c r="C51">
        <v>631</v>
      </c>
    </row>
    <row r="52" spans="2:3" x14ac:dyDescent="0.25">
      <c r="B52" t="s">
        <v>33</v>
      </c>
      <c r="C52">
        <v>222</v>
      </c>
    </row>
    <row r="53" spans="2:3" x14ac:dyDescent="0.25">
      <c r="C53">
        <f>SUM(C47:C52)</f>
        <v>1474</v>
      </c>
    </row>
    <row r="56" spans="2:3" x14ac:dyDescent="0.25">
      <c r="B56" t="s">
        <v>34</v>
      </c>
    </row>
    <row r="57" spans="2:3" x14ac:dyDescent="0.25">
      <c r="B57" t="s">
        <v>35</v>
      </c>
      <c r="C57">
        <v>40</v>
      </c>
    </row>
    <row r="58" spans="2:3" x14ac:dyDescent="0.25">
      <c r="B58" t="s">
        <v>36</v>
      </c>
      <c r="C58">
        <v>225</v>
      </c>
    </row>
    <row r="59" spans="2:3" x14ac:dyDescent="0.25">
      <c r="B59" t="s">
        <v>37</v>
      </c>
      <c r="C59">
        <v>50</v>
      </c>
    </row>
    <row r="60" spans="2:3" x14ac:dyDescent="0.25">
      <c r="C60">
        <f>SUM(C57:C59)</f>
        <v>315</v>
      </c>
    </row>
    <row r="61" spans="2:3" x14ac:dyDescent="0.25">
      <c r="B61" t="s">
        <v>46</v>
      </c>
    </row>
    <row r="62" spans="2:3" x14ac:dyDescent="0.25">
      <c r="B62" t="s">
        <v>47</v>
      </c>
      <c r="C62">
        <v>7</v>
      </c>
    </row>
    <row r="63" spans="2:3" x14ac:dyDescent="0.25">
      <c r="B63" t="s">
        <v>48</v>
      </c>
      <c r="C63">
        <v>6</v>
      </c>
    </row>
    <row r="64" spans="2:3" x14ac:dyDescent="0.25">
      <c r="B64" t="s">
        <v>49</v>
      </c>
      <c r="C64">
        <v>9</v>
      </c>
    </row>
    <row r="65" spans="1:3" x14ac:dyDescent="0.25">
      <c r="B65" t="s">
        <v>50</v>
      </c>
      <c r="C65">
        <v>5</v>
      </c>
    </row>
    <row r="66" spans="1:3" x14ac:dyDescent="0.25">
      <c r="B66" t="s">
        <v>53</v>
      </c>
      <c r="C66">
        <v>3</v>
      </c>
    </row>
    <row r="67" spans="1:3" x14ac:dyDescent="0.25">
      <c r="B67" t="s">
        <v>52</v>
      </c>
      <c r="C67">
        <v>89</v>
      </c>
    </row>
    <row r="68" spans="1:3" x14ac:dyDescent="0.25">
      <c r="B68" t="s">
        <v>51</v>
      </c>
      <c r="C68">
        <v>41</v>
      </c>
    </row>
    <row r="69" spans="1:3" x14ac:dyDescent="0.25">
      <c r="A69" t="s">
        <v>12</v>
      </c>
      <c r="C69">
        <f>SUM(C62:C68)</f>
        <v>160</v>
      </c>
    </row>
    <row r="70" spans="1:3" x14ac:dyDescent="0.25">
      <c r="B70" s="2" t="s">
        <v>62</v>
      </c>
    </row>
    <row r="71" spans="1:3" x14ac:dyDescent="0.25">
      <c r="B71" t="s">
        <v>64</v>
      </c>
      <c r="C71">
        <v>14</v>
      </c>
    </row>
    <row r="72" spans="1:3" x14ac:dyDescent="0.25">
      <c r="B72" t="s">
        <v>65</v>
      </c>
      <c r="C72">
        <v>255</v>
      </c>
    </row>
    <row r="73" spans="1:3" x14ac:dyDescent="0.25">
      <c r="B73" t="s">
        <v>66</v>
      </c>
      <c r="C73">
        <v>39</v>
      </c>
    </row>
    <row r="74" spans="1:3" x14ac:dyDescent="0.25">
      <c r="B74" t="s">
        <v>60</v>
      </c>
      <c r="C74">
        <v>82</v>
      </c>
    </row>
    <row r="75" spans="1:3" x14ac:dyDescent="0.25">
      <c r="B75" t="s">
        <v>67</v>
      </c>
      <c r="C75">
        <v>2</v>
      </c>
    </row>
    <row r="76" spans="1:3" x14ac:dyDescent="0.25">
      <c r="B76" t="s">
        <v>68</v>
      </c>
      <c r="C76">
        <v>0</v>
      </c>
    </row>
    <row r="77" spans="1:3" x14ac:dyDescent="0.25">
      <c r="C77">
        <f>SUM(C71:C76)</f>
        <v>392</v>
      </c>
    </row>
    <row r="78" spans="1:3" x14ac:dyDescent="0.25">
      <c r="B78" t="s">
        <v>54</v>
      </c>
    </row>
    <row r="79" spans="1:3" x14ac:dyDescent="0.25">
      <c r="B79" t="s">
        <v>55</v>
      </c>
      <c r="C79">
        <v>8</v>
      </c>
    </row>
    <row r="80" spans="1:3" x14ac:dyDescent="0.25">
      <c r="B80" t="s">
        <v>56</v>
      </c>
      <c r="C80">
        <v>6</v>
      </c>
    </row>
    <row r="82" spans="2:3" x14ac:dyDescent="0.25">
      <c r="B82" s="2" t="s">
        <v>57</v>
      </c>
    </row>
    <row r="83" spans="2:3" x14ac:dyDescent="0.25">
      <c r="B83" t="s">
        <v>58</v>
      </c>
      <c r="C83">
        <v>17</v>
      </c>
    </row>
    <row r="84" spans="2:3" x14ac:dyDescent="0.25">
      <c r="B84" t="s">
        <v>59</v>
      </c>
      <c r="C84">
        <v>351</v>
      </c>
    </row>
    <row r="85" spans="2:3" x14ac:dyDescent="0.25">
      <c r="B85" t="s">
        <v>60</v>
      </c>
      <c r="C85">
        <v>14</v>
      </c>
    </row>
    <row r="86" spans="2:3" x14ac:dyDescent="0.25">
      <c r="B86" t="s">
        <v>61</v>
      </c>
      <c r="C86">
        <v>8</v>
      </c>
    </row>
    <row r="87" spans="2:3" x14ac:dyDescent="0.25">
      <c r="B87" t="s">
        <v>9</v>
      </c>
      <c r="C87">
        <v>2</v>
      </c>
    </row>
    <row r="88" spans="2:3" x14ac:dyDescent="0.25">
      <c r="C88">
        <f>SUM(C83:C87)</f>
        <v>392</v>
      </c>
    </row>
    <row r="89" spans="2:3" x14ac:dyDescent="0.25">
      <c r="B89" s="2" t="s">
        <v>71</v>
      </c>
    </row>
    <row r="90" spans="2:3" x14ac:dyDescent="0.25">
      <c r="B90" t="s">
        <v>72</v>
      </c>
      <c r="C90">
        <v>299</v>
      </c>
    </row>
    <row r="91" spans="2:3" x14ac:dyDescent="0.25">
      <c r="B91" t="s">
        <v>73</v>
      </c>
      <c r="C91">
        <v>36</v>
      </c>
    </row>
    <row r="92" spans="2:3" x14ac:dyDescent="0.25">
      <c r="B92" t="s">
        <v>74</v>
      </c>
      <c r="C92">
        <v>0</v>
      </c>
    </row>
    <row r="93" spans="2:3" x14ac:dyDescent="0.25">
      <c r="B93" t="s">
        <v>75</v>
      </c>
      <c r="C93">
        <v>0</v>
      </c>
    </row>
    <row r="94" spans="2:3" x14ac:dyDescent="0.25">
      <c r="B94" t="s">
        <v>76</v>
      </c>
      <c r="C94">
        <v>0</v>
      </c>
    </row>
    <row r="95" spans="2:3" x14ac:dyDescent="0.25">
      <c r="B95" t="s">
        <v>7</v>
      </c>
      <c r="C95">
        <v>61</v>
      </c>
    </row>
    <row r="96" spans="2:3" x14ac:dyDescent="0.25">
      <c r="C96">
        <f>SUM(C90:C95)</f>
        <v>396</v>
      </c>
    </row>
    <row r="97" spans="2:3" x14ac:dyDescent="0.25">
      <c r="B97" s="2" t="s">
        <v>63</v>
      </c>
    </row>
    <row r="98" spans="2:3" x14ac:dyDescent="0.25">
      <c r="B98" t="s">
        <v>69</v>
      </c>
      <c r="C98">
        <v>111</v>
      </c>
    </row>
    <row r="99" spans="2:3" x14ac:dyDescent="0.25">
      <c r="B99" t="s">
        <v>60</v>
      </c>
      <c r="C99">
        <v>7</v>
      </c>
    </row>
    <row r="100" spans="2:3" x14ac:dyDescent="0.25">
      <c r="B100" t="s">
        <v>70</v>
      </c>
      <c r="C100">
        <v>250</v>
      </c>
    </row>
    <row r="101" spans="2:3" x14ac:dyDescent="0.25">
      <c r="B101" t="s">
        <v>67</v>
      </c>
      <c r="C101">
        <v>5</v>
      </c>
    </row>
    <row r="104" spans="2:3" x14ac:dyDescent="0.25">
      <c r="B104" t="s">
        <v>77</v>
      </c>
    </row>
    <row r="105" spans="2:3" x14ac:dyDescent="0.25">
      <c r="B105" t="s">
        <v>78</v>
      </c>
      <c r="C105">
        <v>192</v>
      </c>
    </row>
    <row r="106" spans="2:3" x14ac:dyDescent="0.25">
      <c r="B106" t="s">
        <v>79</v>
      </c>
      <c r="C106">
        <v>33</v>
      </c>
    </row>
    <row r="107" spans="2:3" x14ac:dyDescent="0.25">
      <c r="B107" t="s">
        <v>80</v>
      </c>
      <c r="C107">
        <v>2</v>
      </c>
    </row>
    <row r="108" spans="2:3" x14ac:dyDescent="0.25">
      <c r="B108" t="s">
        <v>81</v>
      </c>
      <c r="C108">
        <v>0</v>
      </c>
    </row>
    <row r="109" spans="2:3" x14ac:dyDescent="0.25">
      <c r="B109" t="s">
        <v>82</v>
      </c>
      <c r="C109">
        <v>0</v>
      </c>
    </row>
    <row r="110" spans="2:3" x14ac:dyDescent="0.25">
      <c r="B110" t="s">
        <v>83</v>
      </c>
      <c r="C110">
        <v>54</v>
      </c>
    </row>
    <row r="112" spans="2:3" x14ac:dyDescent="0.25">
      <c r="B112" t="s">
        <v>113</v>
      </c>
    </row>
    <row r="113" spans="2:3" x14ac:dyDescent="0.25">
      <c r="B113">
        <v>1</v>
      </c>
      <c r="C113">
        <v>165</v>
      </c>
    </row>
    <row r="114" spans="2:3" x14ac:dyDescent="0.25">
      <c r="B114">
        <v>2</v>
      </c>
      <c r="C114">
        <v>113</v>
      </c>
    </row>
    <row r="115" spans="2:3" x14ac:dyDescent="0.25">
      <c r="B115">
        <v>3</v>
      </c>
      <c r="C115">
        <v>69</v>
      </c>
    </row>
    <row r="116" spans="2:3" x14ac:dyDescent="0.25">
      <c r="B116" s="3" t="s">
        <v>112</v>
      </c>
      <c r="C116">
        <v>34</v>
      </c>
    </row>
    <row r="117" spans="2:3" x14ac:dyDescent="0.25">
      <c r="B117" t="s">
        <v>2</v>
      </c>
      <c r="C117">
        <v>15</v>
      </c>
    </row>
    <row r="118" spans="2:3" x14ac:dyDescent="0.25">
      <c r="C118">
        <f>SUM(C113:C117)</f>
        <v>396</v>
      </c>
    </row>
    <row r="120" spans="2:3" x14ac:dyDescent="0.25">
      <c r="B120" t="s">
        <v>84</v>
      </c>
    </row>
    <row r="121" spans="2:3" x14ac:dyDescent="0.25">
      <c r="B121" t="s">
        <v>85</v>
      </c>
      <c r="C121">
        <v>70</v>
      </c>
    </row>
    <row r="122" spans="2:3" x14ac:dyDescent="0.25">
      <c r="B122" t="s">
        <v>86</v>
      </c>
      <c r="C122">
        <v>272</v>
      </c>
    </row>
    <row r="123" spans="2:3" x14ac:dyDescent="0.25">
      <c r="B123" t="s">
        <v>87</v>
      </c>
      <c r="C123">
        <v>29</v>
      </c>
    </row>
    <row r="124" spans="2:3" x14ac:dyDescent="0.25">
      <c r="B124" t="s">
        <v>88</v>
      </c>
      <c r="C124">
        <v>1</v>
      </c>
    </row>
    <row r="125" spans="2:3" x14ac:dyDescent="0.25">
      <c r="B125" t="s">
        <v>2</v>
      </c>
      <c r="C125">
        <v>24</v>
      </c>
    </row>
    <row r="126" spans="2:3" x14ac:dyDescent="0.25">
      <c r="C126">
        <f>SUM(C121:C125)</f>
        <v>396</v>
      </c>
    </row>
    <row r="128" spans="2:3" x14ac:dyDescent="0.25">
      <c r="B128" t="s">
        <v>89</v>
      </c>
    </row>
    <row r="129" spans="2:3" x14ac:dyDescent="0.25">
      <c r="B129" t="s">
        <v>85</v>
      </c>
      <c r="C129">
        <v>151</v>
      </c>
    </row>
    <row r="130" spans="2:3" x14ac:dyDescent="0.25">
      <c r="B130" t="s">
        <v>90</v>
      </c>
      <c r="C130">
        <v>10</v>
      </c>
    </row>
    <row r="131" spans="2:3" x14ac:dyDescent="0.25">
      <c r="B131" t="s">
        <v>91</v>
      </c>
      <c r="C131">
        <v>110</v>
      </c>
    </row>
    <row r="132" spans="2:3" x14ac:dyDescent="0.25">
      <c r="B132" t="s">
        <v>92</v>
      </c>
      <c r="C132">
        <v>27</v>
      </c>
    </row>
    <row r="133" spans="2:3" x14ac:dyDescent="0.25">
      <c r="B133" t="s">
        <v>93</v>
      </c>
      <c r="C133">
        <v>7</v>
      </c>
    </row>
    <row r="134" spans="2:3" x14ac:dyDescent="0.25">
      <c r="B134" t="s">
        <v>2</v>
      </c>
      <c r="C134">
        <v>91</v>
      </c>
    </row>
    <row r="135" spans="2:3" x14ac:dyDescent="0.25">
      <c r="C135">
        <f>SUM(C129:C134)</f>
        <v>396</v>
      </c>
    </row>
    <row r="136" spans="2:3" x14ac:dyDescent="0.25">
      <c r="B136" t="s">
        <v>94</v>
      </c>
    </row>
    <row r="137" spans="2:3" x14ac:dyDescent="0.25">
      <c r="B137" t="s">
        <v>95</v>
      </c>
      <c r="C137">
        <v>56</v>
      </c>
    </row>
    <row r="138" spans="2:3" x14ac:dyDescent="0.25">
      <c r="B138" t="s">
        <v>96</v>
      </c>
      <c r="C138">
        <v>202</v>
      </c>
    </row>
    <row r="139" spans="2:3" x14ac:dyDescent="0.25">
      <c r="B139" t="s">
        <v>97</v>
      </c>
      <c r="C139">
        <v>67</v>
      </c>
    </row>
    <row r="140" spans="2:3" x14ac:dyDescent="0.25">
      <c r="B140" t="s">
        <v>2</v>
      </c>
      <c r="C140">
        <v>71</v>
      </c>
    </row>
    <row r="141" spans="2:3" x14ac:dyDescent="0.25">
      <c r="C141">
        <f>SUM(C137:C140)</f>
        <v>396</v>
      </c>
    </row>
    <row r="143" spans="2:3" x14ac:dyDescent="0.25">
      <c r="B143" t="s">
        <v>98</v>
      </c>
    </row>
    <row r="144" spans="2:3" x14ac:dyDescent="0.25">
      <c r="B144" t="s">
        <v>100</v>
      </c>
      <c r="C144">
        <v>54</v>
      </c>
    </row>
    <row r="145" spans="2:3" x14ac:dyDescent="0.25">
      <c r="B145" t="s">
        <v>99</v>
      </c>
      <c r="C145">
        <v>7</v>
      </c>
    </row>
    <row r="146" spans="2:3" x14ac:dyDescent="0.25">
      <c r="B146" t="s">
        <v>101</v>
      </c>
      <c r="C146">
        <v>319</v>
      </c>
    </row>
    <row r="147" spans="2:3" x14ac:dyDescent="0.25">
      <c r="B147" t="s">
        <v>2</v>
      </c>
      <c r="C147">
        <v>16</v>
      </c>
    </row>
    <row r="148" spans="2:3" x14ac:dyDescent="0.25">
      <c r="C148">
        <f>SUM(C144:C147)</f>
        <v>396</v>
      </c>
    </row>
    <row r="150" spans="2:3" x14ac:dyDescent="0.25">
      <c r="B150" t="s">
        <v>102</v>
      </c>
    </row>
    <row r="151" spans="2:3" x14ac:dyDescent="0.25">
      <c r="B151" t="s">
        <v>103</v>
      </c>
      <c r="C151">
        <v>50</v>
      </c>
    </row>
    <row r="152" spans="2:3" x14ac:dyDescent="0.25">
      <c r="B152" t="s">
        <v>104</v>
      </c>
      <c r="C152">
        <v>82</v>
      </c>
    </row>
    <row r="153" spans="2:3" x14ac:dyDescent="0.25">
      <c r="B153" t="s">
        <v>105</v>
      </c>
      <c r="C153">
        <v>39</v>
      </c>
    </row>
    <row r="154" spans="2:3" x14ac:dyDescent="0.25">
      <c r="B154" t="s">
        <v>106</v>
      </c>
      <c r="C154">
        <v>176</v>
      </c>
    </row>
    <row r="155" spans="2:3" x14ac:dyDescent="0.25">
      <c r="B155" t="s">
        <v>2</v>
      </c>
      <c r="C155">
        <v>49</v>
      </c>
    </row>
    <row r="156" spans="2:3" x14ac:dyDescent="0.25">
      <c r="C156">
        <f>SUM(C151:C155)</f>
        <v>396</v>
      </c>
    </row>
    <row r="159" spans="2:3" x14ac:dyDescent="0.25">
      <c r="B159" t="s">
        <v>107</v>
      </c>
    </row>
    <row r="160" spans="2:3" x14ac:dyDescent="0.25">
      <c r="B160" t="s">
        <v>108</v>
      </c>
      <c r="C160">
        <v>93</v>
      </c>
    </row>
    <row r="161" spans="2:4" x14ac:dyDescent="0.25">
      <c r="B161" t="s">
        <v>109</v>
      </c>
      <c r="C161">
        <v>170</v>
      </c>
    </row>
    <row r="162" spans="2:4" x14ac:dyDescent="0.25">
      <c r="B162" t="s">
        <v>110</v>
      </c>
      <c r="C162">
        <v>2</v>
      </c>
    </row>
    <row r="163" spans="2:4" x14ac:dyDescent="0.25">
      <c r="B163" t="s">
        <v>111</v>
      </c>
      <c r="C163">
        <v>90</v>
      </c>
    </row>
    <row r="164" spans="2:4" x14ac:dyDescent="0.25">
      <c r="B164" t="s">
        <v>2</v>
      </c>
      <c r="C164">
        <v>41</v>
      </c>
    </row>
    <row r="165" spans="2:4" x14ac:dyDescent="0.25">
      <c r="C165">
        <f>SUM(C160:C164)</f>
        <v>396</v>
      </c>
    </row>
    <row r="172" spans="2:4" x14ac:dyDescent="0.25">
      <c r="B172" t="s">
        <v>116</v>
      </c>
      <c r="C172" t="s">
        <v>114</v>
      </c>
      <c r="D172" t="s">
        <v>115</v>
      </c>
    </row>
    <row r="173" spans="2:4" x14ac:dyDescent="0.25">
      <c r="C173" t="s">
        <v>114</v>
      </c>
      <c r="D173" t="s">
        <v>115</v>
      </c>
    </row>
    <row r="174" spans="2:4" x14ac:dyDescent="0.25">
      <c r="B174">
        <v>4</v>
      </c>
      <c r="C174">
        <v>10</v>
      </c>
      <c r="D174">
        <v>1</v>
      </c>
    </row>
    <row r="175" spans="2:4" x14ac:dyDescent="0.25">
      <c r="B175">
        <v>3</v>
      </c>
      <c r="C175">
        <v>29</v>
      </c>
      <c r="D175">
        <v>5</v>
      </c>
    </row>
    <row r="176" spans="2:4" x14ac:dyDescent="0.25">
      <c r="B176">
        <v>2</v>
      </c>
      <c r="C176">
        <v>100</v>
      </c>
      <c r="D176">
        <v>29</v>
      </c>
    </row>
    <row r="177" spans="2:4" x14ac:dyDescent="0.25">
      <c r="B177">
        <v>1</v>
      </c>
      <c r="C177">
        <v>121</v>
      </c>
      <c r="D177">
        <v>116</v>
      </c>
    </row>
    <row r="178" spans="2:4" x14ac:dyDescent="0.25">
      <c r="B178">
        <v>0</v>
      </c>
      <c r="C178">
        <v>136</v>
      </c>
      <c r="D178">
        <v>245</v>
      </c>
    </row>
    <row r="180" spans="2:4" x14ac:dyDescent="0.25">
      <c r="B180" s="1"/>
    </row>
    <row r="181" spans="2:4" x14ac:dyDescent="0.25">
      <c r="B181" s="1"/>
    </row>
    <row r="182" spans="2:4" x14ac:dyDescent="0.25">
      <c r="B182" s="1"/>
    </row>
    <row r="183" spans="2:4" x14ac:dyDescent="0.25">
      <c r="B183" s="1"/>
    </row>
    <row r="184" spans="2:4" x14ac:dyDescent="0.25">
      <c r="B184" s="1"/>
    </row>
    <row r="185" spans="2:4" x14ac:dyDescent="0.25">
      <c r="B185" s="1"/>
    </row>
    <row r="186" spans="2:4" x14ac:dyDescent="0.25">
      <c r="B186" s="1"/>
    </row>
    <row r="187" spans="2:4" x14ac:dyDescent="0.25">
      <c r="B187" s="1"/>
    </row>
    <row r="188" spans="2:4" x14ac:dyDescent="0.25">
      <c r="B188" s="1"/>
    </row>
    <row r="189" spans="2:4" x14ac:dyDescent="0.25">
      <c r="B189" s="1"/>
    </row>
    <row r="190" spans="2:4" x14ac:dyDescent="0.25">
      <c r="B190" s="1"/>
    </row>
    <row r="191" spans="2:4" x14ac:dyDescent="0.25">
      <c r="B191" s="1"/>
    </row>
    <row r="192" spans="2:4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69" zoomScale="115" zoomScaleNormal="115" workbookViewId="0">
      <selection activeCell="D213" sqref="D21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5"/>
  <sheetViews>
    <sheetView workbookViewId="0">
      <selection activeCell="A5" sqref="A5"/>
    </sheetView>
  </sheetViews>
  <sheetFormatPr baseColWidth="10" defaultRowHeight="15" x14ac:dyDescent="0.25"/>
  <cols>
    <col min="2" max="2" width="20.28515625" customWidth="1"/>
    <col min="3" max="3" width="15.7109375" customWidth="1"/>
    <col min="4" max="4" width="13.42578125" style="4" customWidth="1"/>
    <col min="5" max="5" width="15.85546875" style="4" customWidth="1"/>
    <col min="6" max="6" width="8.42578125" customWidth="1"/>
    <col min="7" max="7" width="8.28515625" customWidth="1"/>
    <col min="8" max="9" width="7.85546875" customWidth="1"/>
    <col min="10" max="10" width="9.140625" customWidth="1"/>
    <col min="11" max="11" width="9" customWidth="1"/>
    <col min="12" max="23" width="9.28515625" customWidth="1"/>
    <col min="24" max="24" width="5.140625" customWidth="1"/>
    <col min="25" max="25" width="5.42578125" customWidth="1"/>
    <col min="26" max="26" width="5.7109375" customWidth="1"/>
    <col min="27" max="31" width="6" customWidth="1"/>
    <col min="32" max="43" width="8.85546875" customWidth="1"/>
    <col min="44" max="44" width="7.7109375" customWidth="1"/>
    <col min="45" max="45" width="11.28515625" customWidth="1"/>
    <col min="46" max="46" width="8.85546875" customWidth="1"/>
    <col min="47" max="47" width="10.140625" customWidth="1"/>
    <col min="48" max="48" width="9.28515625" customWidth="1"/>
    <col min="49" max="49" width="9.7109375" customWidth="1"/>
    <col min="50" max="50" width="9.85546875" customWidth="1"/>
  </cols>
  <sheetData>
    <row r="2" spans="1:50" x14ac:dyDescent="0.25">
      <c r="B2" s="14" t="s">
        <v>117</v>
      </c>
      <c r="C2" s="16" t="s">
        <v>129</v>
      </c>
      <c r="D2" s="14" t="s">
        <v>118</v>
      </c>
      <c r="E2" s="15" t="s">
        <v>119</v>
      </c>
      <c r="F2" s="14" t="s">
        <v>128</v>
      </c>
      <c r="G2" s="14"/>
      <c r="H2" s="14"/>
      <c r="I2" s="18" t="s">
        <v>131</v>
      </c>
      <c r="J2" s="19"/>
      <c r="K2" s="20"/>
      <c r="L2" s="18" t="s">
        <v>132</v>
      </c>
      <c r="M2" s="19"/>
      <c r="N2" s="20"/>
      <c r="O2" s="18" t="s">
        <v>133</v>
      </c>
      <c r="P2" s="19"/>
      <c r="Q2" s="20"/>
      <c r="R2" s="18" t="s">
        <v>17</v>
      </c>
      <c r="S2" s="19"/>
      <c r="T2" s="20"/>
      <c r="U2" s="18" t="s">
        <v>18</v>
      </c>
      <c r="V2" s="19"/>
      <c r="W2" s="20"/>
      <c r="X2" s="14" t="s">
        <v>141</v>
      </c>
      <c r="Y2" s="14" t="s">
        <v>135</v>
      </c>
      <c r="Z2" s="14"/>
      <c r="AA2" s="14"/>
      <c r="AB2" s="14"/>
      <c r="AC2" s="14"/>
      <c r="AD2" s="14"/>
      <c r="AE2" s="14"/>
      <c r="AF2" s="14" t="s">
        <v>142</v>
      </c>
      <c r="AG2" s="14"/>
      <c r="AH2" s="14"/>
      <c r="AI2" s="14"/>
      <c r="AJ2" s="14"/>
      <c r="AK2" s="14"/>
      <c r="AL2" s="14"/>
      <c r="AM2" s="14" t="s">
        <v>148</v>
      </c>
      <c r="AN2" s="14"/>
      <c r="AO2" s="14"/>
      <c r="AP2" s="14"/>
      <c r="AQ2" s="14"/>
      <c r="AR2" s="14"/>
      <c r="AS2" s="21" t="s">
        <v>149</v>
      </c>
      <c r="AT2" s="22"/>
      <c r="AU2" s="22"/>
      <c r="AV2" s="22"/>
      <c r="AW2" s="22"/>
      <c r="AX2" s="23"/>
    </row>
    <row r="3" spans="1:50" ht="38.25" x14ac:dyDescent="0.25">
      <c r="B3" s="14"/>
      <c r="C3" s="17"/>
      <c r="D3" s="14"/>
      <c r="E3" s="15"/>
      <c r="F3" s="6" t="s">
        <v>134</v>
      </c>
      <c r="G3" s="6" t="s">
        <v>0</v>
      </c>
      <c r="H3" s="6" t="s">
        <v>1</v>
      </c>
      <c r="I3" s="6" t="s">
        <v>134</v>
      </c>
      <c r="J3" s="6" t="s">
        <v>0</v>
      </c>
      <c r="K3" s="6" t="s">
        <v>1</v>
      </c>
      <c r="L3" s="6" t="s">
        <v>134</v>
      </c>
      <c r="M3" s="6" t="s">
        <v>0</v>
      </c>
      <c r="N3" s="6" t="s">
        <v>1</v>
      </c>
      <c r="O3" s="6" t="s">
        <v>134</v>
      </c>
      <c r="P3" s="6" t="s">
        <v>0</v>
      </c>
      <c r="Q3" s="6" t="s">
        <v>1</v>
      </c>
      <c r="R3" s="6" t="s">
        <v>134</v>
      </c>
      <c r="S3" s="6" t="s">
        <v>0</v>
      </c>
      <c r="T3" s="6" t="s">
        <v>1</v>
      </c>
      <c r="U3" s="6" t="s">
        <v>134</v>
      </c>
      <c r="V3" s="6" t="s">
        <v>0</v>
      </c>
      <c r="W3" s="6" t="s">
        <v>1</v>
      </c>
      <c r="X3" s="14"/>
      <c r="Y3" s="10" t="s">
        <v>136</v>
      </c>
      <c r="Z3" s="10" t="s">
        <v>137</v>
      </c>
      <c r="AA3" s="10" t="s">
        <v>138</v>
      </c>
      <c r="AB3" s="10" t="s">
        <v>139</v>
      </c>
      <c r="AC3" s="10" t="s">
        <v>140</v>
      </c>
      <c r="AD3" s="10" t="s">
        <v>137</v>
      </c>
      <c r="AE3" s="10" t="s">
        <v>141</v>
      </c>
      <c r="AF3" s="12" t="s">
        <v>11</v>
      </c>
      <c r="AG3" s="11" t="s">
        <v>27</v>
      </c>
      <c r="AH3" s="11" t="s">
        <v>26</v>
      </c>
      <c r="AI3" s="11" t="s">
        <v>143</v>
      </c>
      <c r="AJ3" s="11" t="s">
        <v>144</v>
      </c>
      <c r="AK3" s="11" t="s">
        <v>145</v>
      </c>
      <c r="AL3" s="11" t="s">
        <v>146</v>
      </c>
      <c r="AM3" s="11" t="s">
        <v>28</v>
      </c>
      <c r="AN3" s="11" t="s">
        <v>29</v>
      </c>
      <c r="AO3" s="12" t="s">
        <v>33</v>
      </c>
      <c r="AP3" s="11" t="s">
        <v>30</v>
      </c>
      <c r="AQ3" s="12" t="s">
        <v>31</v>
      </c>
      <c r="AR3" s="11" t="s">
        <v>141</v>
      </c>
      <c r="AS3" s="13" t="s">
        <v>150</v>
      </c>
      <c r="AT3" s="6" t="s">
        <v>151</v>
      </c>
      <c r="AU3" s="6" t="s">
        <v>152</v>
      </c>
      <c r="AV3" s="6" t="s">
        <v>153</v>
      </c>
      <c r="AW3" s="6" t="s">
        <v>154</v>
      </c>
      <c r="AX3" s="6" t="s">
        <v>9</v>
      </c>
    </row>
    <row r="4" spans="1:50" x14ac:dyDescent="0.25">
      <c r="A4" s="7">
        <v>1</v>
      </c>
      <c r="B4" s="7" t="s">
        <v>120</v>
      </c>
      <c r="C4" s="7"/>
      <c r="D4" s="8">
        <v>16</v>
      </c>
      <c r="E4" s="8">
        <v>280</v>
      </c>
      <c r="F4" s="8">
        <v>978</v>
      </c>
      <c r="G4" s="8">
        <v>480</v>
      </c>
      <c r="H4" s="8">
        <v>498</v>
      </c>
      <c r="I4" s="8">
        <v>70</v>
      </c>
      <c r="J4" s="8">
        <v>43</v>
      </c>
      <c r="K4" s="8">
        <v>27</v>
      </c>
      <c r="L4" s="8">
        <v>91</v>
      </c>
      <c r="M4" s="8">
        <v>36</v>
      </c>
      <c r="N4" s="8">
        <v>55</v>
      </c>
      <c r="O4" s="8">
        <v>170</v>
      </c>
      <c r="P4" s="8">
        <v>95</v>
      </c>
      <c r="Q4" s="8">
        <v>75</v>
      </c>
      <c r="R4" s="8">
        <v>510</v>
      </c>
      <c r="S4" s="8">
        <v>247</v>
      </c>
      <c r="T4" s="8">
        <v>263</v>
      </c>
      <c r="U4" s="8">
        <v>122</v>
      </c>
      <c r="V4" s="8">
        <v>67</v>
      </c>
      <c r="W4" s="8">
        <v>55</v>
      </c>
      <c r="X4" s="9">
        <v>15</v>
      </c>
      <c r="Y4" s="9">
        <v>189</v>
      </c>
      <c r="Z4" s="9">
        <v>398</v>
      </c>
      <c r="AA4" s="9">
        <v>253</v>
      </c>
      <c r="AB4" s="9">
        <v>8</v>
      </c>
      <c r="AC4" s="9">
        <v>46</v>
      </c>
      <c r="AD4" s="9">
        <v>5</v>
      </c>
      <c r="AE4" s="9">
        <v>79</v>
      </c>
      <c r="AF4" s="8">
        <v>139</v>
      </c>
      <c r="AG4" s="8">
        <v>57</v>
      </c>
      <c r="AH4" s="8">
        <v>14</v>
      </c>
      <c r="AI4" s="8">
        <v>543</v>
      </c>
      <c r="AJ4" s="8">
        <v>146</v>
      </c>
      <c r="AK4" s="8">
        <v>59</v>
      </c>
      <c r="AL4" s="8">
        <v>20</v>
      </c>
      <c r="AM4" s="9">
        <v>307</v>
      </c>
      <c r="AN4" s="9">
        <v>181</v>
      </c>
      <c r="AO4" s="9">
        <v>217</v>
      </c>
      <c r="AP4" s="9">
        <v>81</v>
      </c>
      <c r="AQ4" s="9">
        <v>24</v>
      </c>
      <c r="AR4" s="9">
        <v>168</v>
      </c>
      <c r="AS4" s="6">
        <v>109</v>
      </c>
      <c r="AT4" s="6">
        <v>22</v>
      </c>
      <c r="AU4" s="6">
        <v>117</v>
      </c>
      <c r="AV4" s="6">
        <v>0</v>
      </c>
      <c r="AW4" s="6">
        <v>0</v>
      </c>
      <c r="AX4" s="6">
        <v>32</v>
      </c>
    </row>
    <row r="5" spans="1:50" x14ac:dyDescent="0.25">
      <c r="A5" s="7">
        <v>2</v>
      </c>
      <c r="B5" s="7" t="s">
        <v>121</v>
      </c>
      <c r="C5" s="7"/>
      <c r="D5" s="8">
        <v>28</v>
      </c>
      <c r="E5" s="8">
        <v>249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7">
        <v>3</v>
      </c>
      <c r="B6" s="7" t="s">
        <v>122</v>
      </c>
      <c r="C6" s="7"/>
      <c r="D6" s="8">
        <v>5</v>
      </c>
      <c r="E6" s="8">
        <v>50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7">
        <v>4</v>
      </c>
      <c r="B7" s="7" t="s">
        <v>123</v>
      </c>
      <c r="C7" s="7"/>
      <c r="D7" s="8">
        <v>73</v>
      </c>
      <c r="E7" s="8">
        <v>629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7">
        <v>5</v>
      </c>
      <c r="B8" s="7" t="s">
        <v>124</v>
      </c>
      <c r="C8" s="7"/>
      <c r="D8" s="8">
        <v>90</v>
      </c>
      <c r="E8" s="8">
        <v>2441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7">
        <v>6</v>
      </c>
      <c r="B9" s="7" t="s">
        <v>125</v>
      </c>
      <c r="C9" s="7"/>
      <c r="D9" s="8">
        <v>9</v>
      </c>
      <c r="E9" s="8">
        <v>138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7">
        <v>7</v>
      </c>
      <c r="B10" s="7" t="s">
        <v>126</v>
      </c>
      <c r="C10" s="7"/>
      <c r="D10" s="8">
        <v>10</v>
      </c>
      <c r="E10" s="8">
        <v>154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7">
        <v>8</v>
      </c>
      <c r="B11" s="7" t="s">
        <v>127</v>
      </c>
      <c r="C11" s="7"/>
      <c r="D11" s="8">
        <v>24</v>
      </c>
      <c r="E11" s="8">
        <v>154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7" t="s">
        <v>130</v>
      </c>
      <c r="B12" s="7" t="s">
        <v>147</v>
      </c>
      <c r="C12" s="7"/>
      <c r="D12" s="8">
        <f>SUM(D4:D11)</f>
        <v>255</v>
      </c>
      <c r="E12" s="8">
        <f>SUM(E4:E11)</f>
        <v>4095</v>
      </c>
      <c r="F12" s="8"/>
      <c r="G12" s="8"/>
      <c r="H12" s="8"/>
      <c r="I12" s="8"/>
      <c r="J12" s="8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S13" s="5"/>
      <c r="AT13" s="5"/>
      <c r="AU13" s="5"/>
      <c r="AV13" s="5"/>
      <c r="AW13" s="5"/>
      <c r="AX13" s="5"/>
    </row>
    <row r="15" spans="1:50" x14ac:dyDescent="0.25">
      <c r="AN15" s="2"/>
    </row>
  </sheetData>
  <mergeCells count="15">
    <mergeCell ref="AS2:AX2"/>
    <mergeCell ref="X2:X3"/>
    <mergeCell ref="Y2:AE2"/>
    <mergeCell ref="AF2:AL2"/>
    <mergeCell ref="AM2:AR2"/>
    <mergeCell ref="I2:K2"/>
    <mergeCell ref="L2:N2"/>
    <mergeCell ref="O2:Q2"/>
    <mergeCell ref="R2:T2"/>
    <mergeCell ref="U2:W2"/>
    <mergeCell ref="B2:B3"/>
    <mergeCell ref="D2:D3"/>
    <mergeCell ref="E2:E3"/>
    <mergeCell ref="C2:C3"/>
    <mergeCell ref="F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 NCG</vt:lpstr>
      <vt:lpstr>Graficas NCG</vt:lpstr>
      <vt:lpstr>encuestas asis soc.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Jesús Alejandro Álvarez Martínez</cp:lastModifiedBy>
  <dcterms:created xsi:type="dcterms:W3CDTF">2011-12-21T18:40:04Z</dcterms:created>
  <dcterms:modified xsi:type="dcterms:W3CDTF">2023-03-31T18:13:04Z</dcterms:modified>
</cp:coreProperties>
</file>